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65d6d97bc0184b/AÇÕES TRADE/RELATÓRIO POWER BI/RELATÓRIO/"/>
    </mc:Choice>
  </mc:AlternateContent>
  <xr:revisionPtr revIDLastSave="1051" documentId="13_ncr:1_{C17793D4-B071-437C-A0AA-59A73B65A871}" xr6:coauthVersionLast="47" xr6:coauthVersionMax="47" xr10:uidLastSave="{0EE80DC7-185F-4539-B336-21BA6F68C0B7}"/>
  <bookViews>
    <workbookView xWindow="-108" yWindow="-108" windowWidth="23256" windowHeight="12456" activeTab="1" xr2:uid="{00000000-000D-0000-FFFF-FFFF00000000}"/>
  </bookViews>
  <sheets>
    <sheet name="25. BANCO DE DADOS" sheetId="4" r:id="rId1"/>
    <sheet name="24. BANCO DE DADOS" sheetId="5" r:id="rId2"/>
    <sheet name="26. BANCO DE DADOS" sheetId="9" r:id="rId3"/>
    <sheet name="MÊS ATUAL vs MÊS ANTERIOR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9" l="1"/>
  <c r="N7" i="9"/>
  <c r="I11" i="9"/>
  <c r="I10" i="9"/>
  <c r="I7" i="9"/>
  <c r="I133" i="9"/>
  <c r="I132" i="9"/>
  <c r="I131" i="9"/>
  <c r="I130" i="9"/>
  <c r="I129" i="9"/>
  <c r="I128" i="9"/>
  <c r="I127" i="9"/>
  <c r="I126" i="9"/>
  <c r="I125" i="9"/>
  <c r="I124" i="9"/>
  <c r="I123" i="9"/>
  <c r="N122" i="9"/>
  <c r="M122" i="9"/>
  <c r="O122" i="9" s="1"/>
  <c r="I122" i="9"/>
  <c r="N121" i="9"/>
  <c r="O121" i="9" s="1"/>
  <c r="M121" i="9"/>
  <c r="I121" i="9"/>
  <c r="N120" i="9"/>
  <c r="M120" i="9"/>
  <c r="O120" i="9" s="1"/>
  <c r="I120" i="9"/>
  <c r="N119" i="9"/>
  <c r="O119" i="9" s="1"/>
  <c r="M119" i="9"/>
  <c r="I119" i="9"/>
  <c r="N118" i="9"/>
  <c r="M118" i="9"/>
  <c r="O118" i="9" s="1"/>
  <c r="I118" i="9"/>
  <c r="N117" i="9"/>
  <c r="O117" i="9" s="1"/>
  <c r="M117" i="9"/>
  <c r="I117" i="9"/>
  <c r="N116" i="9"/>
  <c r="M116" i="9"/>
  <c r="O116" i="9" s="1"/>
  <c r="I116" i="9"/>
  <c r="N115" i="9"/>
  <c r="O115" i="9" s="1"/>
  <c r="M115" i="9"/>
  <c r="I115" i="9"/>
  <c r="N114" i="9"/>
  <c r="M114" i="9"/>
  <c r="O114" i="9" s="1"/>
  <c r="I114" i="9"/>
  <c r="N113" i="9"/>
  <c r="O113" i="9" s="1"/>
  <c r="M113" i="9"/>
  <c r="I113" i="9"/>
  <c r="N112" i="9"/>
  <c r="M112" i="9"/>
  <c r="O112" i="9" s="1"/>
  <c r="I112" i="9"/>
  <c r="N111" i="9"/>
  <c r="O111" i="9" s="1"/>
  <c r="M111" i="9"/>
  <c r="I111" i="9"/>
  <c r="N110" i="9"/>
  <c r="M110" i="9"/>
  <c r="O110" i="9" s="1"/>
  <c r="I110" i="9"/>
  <c r="N109" i="9"/>
  <c r="O109" i="9" s="1"/>
  <c r="M109" i="9"/>
  <c r="I109" i="9"/>
  <c r="N108" i="9"/>
  <c r="M108" i="9"/>
  <c r="O108" i="9" s="1"/>
  <c r="I108" i="9"/>
  <c r="N107" i="9"/>
  <c r="O107" i="9" s="1"/>
  <c r="M107" i="9"/>
  <c r="I107" i="9"/>
  <c r="N106" i="9"/>
  <c r="M106" i="9"/>
  <c r="O106" i="9" s="1"/>
  <c r="I106" i="9"/>
  <c r="N105" i="9"/>
  <c r="O105" i="9" s="1"/>
  <c r="M105" i="9"/>
  <c r="I105" i="9"/>
  <c r="N104" i="9"/>
  <c r="M104" i="9"/>
  <c r="O104" i="9" s="1"/>
  <c r="I104" i="9"/>
  <c r="N103" i="9"/>
  <c r="O103" i="9" s="1"/>
  <c r="M103" i="9"/>
  <c r="I103" i="9"/>
  <c r="N102" i="9"/>
  <c r="M102" i="9"/>
  <c r="O102" i="9" s="1"/>
  <c r="I102" i="9"/>
  <c r="N101" i="9"/>
  <c r="O101" i="9" s="1"/>
  <c r="M101" i="9"/>
  <c r="I101" i="9"/>
  <c r="N100" i="9"/>
  <c r="M100" i="9"/>
  <c r="O100" i="9" s="1"/>
  <c r="I100" i="9"/>
  <c r="N99" i="9"/>
  <c r="O99" i="9" s="1"/>
  <c r="M99" i="9"/>
  <c r="I99" i="9"/>
  <c r="N98" i="9"/>
  <c r="M98" i="9"/>
  <c r="O98" i="9" s="1"/>
  <c r="I98" i="9"/>
  <c r="N97" i="9"/>
  <c r="O97" i="9" s="1"/>
  <c r="M97" i="9"/>
  <c r="I97" i="9"/>
  <c r="N96" i="9"/>
  <c r="M96" i="9"/>
  <c r="O96" i="9" s="1"/>
  <c r="I96" i="9"/>
  <c r="N95" i="9"/>
  <c r="O95" i="9" s="1"/>
  <c r="M95" i="9"/>
  <c r="I95" i="9"/>
  <c r="N94" i="9"/>
  <c r="M94" i="9"/>
  <c r="O94" i="9" s="1"/>
  <c r="I94" i="9"/>
  <c r="N93" i="9"/>
  <c r="O93" i="9" s="1"/>
  <c r="M93" i="9"/>
  <c r="I93" i="9"/>
  <c r="N92" i="9"/>
  <c r="M92" i="9"/>
  <c r="O92" i="9" s="1"/>
  <c r="I92" i="9"/>
  <c r="N91" i="9"/>
  <c r="O91" i="9" s="1"/>
  <c r="M91" i="9"/>
  <c r="I91" i="9"/>
  <c r="N90" i="9"/>
  <c r="M90" i="9"/>
  <c r="O90" i="9" s="1"/>
  <c r="I90" i="9"/>
  <c r="N89" i="9"/>
  <c r="O89" i="9" s="1"/>
  <c r="M89" i="9"/>
  <c r="I89" i="9"/>
  <c r="N88" i="9"/>
  <c r="M88" i="9"/>
  <c r="O88" i="9" s="1"/>
  <c r="I88" i="9"/>
  <c r="N87" i="9"/>
  <c r="O87" i="9" s="1"/>
  <c r="M87" i="9"/>
  <c r="I87" i="9"/>
  <c r="N86" i="9"/>
  <c r="M86" i="9"/>
  <c r="O86" i="9" s="1"/>
  <c r="I86" i="9"/>
  <c r="N85" i="9"/>
  <c r="O85" i="9" s="1"/>
  <c r="M85" i="9"/>
  <c r="I85" i="9"/>
  <c r="N84" i="9"/>
  <c r="M84" i="9"/>
  <c r="O84" i="9" s="1"/>
  <c r="I84" i="9"/>
  <c r="N83" i="9"/>
  <c r="O83" i="9" s="1"/>
  <c r="M83" i="9"/>
  <c r="I83" i="9"/>
  <c r="N82" i="9"/>
  <c r="M82" i="9"/>
  <c r="O82" i="9" s="1"/>
  <c r="I82" i="9"/>
  <c r="N81" i="9"/>
  <c r="O81" i="9" s="1"/>
  <c r="M81" i="9"/>
  <c r="I81" i="9"/>
  <c r="N80" i="9"/>
  <c r="M80" i="9"/>
  <c r="O80" i="9" s="1"/>
  <c r="I80" i="9"/>
  <c r="N79" i="9"/>
  <c r="O79" i="9" s="1"/>
  <c r="M79" i="9"/>
  <c r="I79" i="9"/>
  <c r="N78" i="9"/>
  <c r="M78" i="9"/>
  <c r="O78" i="9" s="1"/>
  <c r="I78" i="9"/>
  <c r="N77" i="9"/>
  <c r="O77" i="9" s="1"/>
  <c r="M77" i="9"/>
  <c r="I77" i="9"/>
  <c r="N76" i="9"/>
  <c r="M76" i="9"/>
  <c r="O76" i="9" s="1"/>
  <c r="I76" i="9"/>
  <c r="N75" i="9"/>
  <c r="O75" i="9" s="1"/>
  <c r="M75" i="9"/>
  <c r="I75" i="9"/>
  <c r="N74" i="9"/>
  <c r="M74" i="9"/>
  <c r="O74" i="9" s="1"/>
  <c r="I74" i="9"/>
  <c r="N73" i="9"/>
  <c r="O73" i="9" s="1"/>
  <c r="M73" i="9"/>
  <c r="I73" i="9"/>
  <c r="N72" i="9"/>
  <c r="M72" i="9"/>
  <c r="O72" i="9" s="1"/>
  <c r="I72" i="9"/>
  <c r="N71" i="9"/>
  <c r="O71" i="9" s="1"/>
  <c r="M71" i="9"/>
  <c r="I71" i="9"/>
  <c r="N70" i="9"/>
  <c r="M70" i="9"/>
  <c r="O70" i="9" s="1"/>
  <c r="I70" i="9"/>
  <c r="N69" i="9"/>
  <c r="O69" i="9" s="1"/>
  <c r="M69" i="9"/>
  <c r="I69" i="9"/>
  <c r="N68" i="9"/>
  <c r="M68" i="9"/>
  <c r="O68" i="9" s="1"/>
  <c r="I68" i="9"/>
  <c r="N67" i="9"/>
  <c r="O67" i="9" s="1"/>
  <c r="M67" i="9"/>
  <c r="I67" i="9"/>
  <c r="N66" i="9"/>
  <c r="M66" i="9"/>
  <c r="O66" i="9" s="1"/>
  <c r="I66" i="9"/>
  <c r="N65" i="9"/>
  <c r="O65" i="9" s="1"/>
  <c r="M65" i="9"/>
  <c r="I65" i="9"/>
  <c r="N64" i="9"/>
  <c r="M64" i="9"/>
  <c r="O64" i="9" s="1"/>
  <c r="I64" i="9"/>
  <c r="N63" i="9"/>
  <c r="O63" i="9" s="1"/>
  <c r="M63" i="9"/>
  <c r="I63" i="9"/>
  <c r="N62" i="9"/>
  <c r="M62" i="9"/>
  <c r="O62" i="9" s="1"/>
  <c r="I62" i="9"/>
  <c r="N61" i="9"/>
  <c r="O61" i="9" s="1"/>
  <c r="M61" i="9"/>
  <c r="I61" i="9"/>
  <c r="N60" i="9"/>
  <c r="M60" i="9"/>
  <c r="O60" i="9" s="1"/>
  <c r="I60" i="9"/>
  <c r="N59" i="9"/>
  <c r="O59" i="9" s="1"/>
  <c r="M59" i="9"/>
  <c r="I59" i="9"/>
  <c r="N58" i="9"/>
  <c r="M58" i="9"/>
  <c r="O58" i="9" s="1"/>
  <c r="I58" i="9"/>
  <c r="N57" i="9"/>
  <c r="O57" i="9" s="1"/>
  <c r="M57" i="9"/>
  <c r="I57" i="9"/>
  <c r="N56" i="9"/>
  <c r="M56" i="9"/>
  <c r="O56" i="9" s="1"/>
  <c r="I56" i="9"/>
  <c r="N55" i="9"/>
  <c r="O55" i="9" s="1"/>
  <c r="M55" i="9"/>
  <c r="I55" i="9"/>
  <c r="N54" i="9"/>
  <c r="M54" i="9"/>
  <c r="O54" i="9" s="1"/>
  <c r="I54" i="9"/>
  <c r="N53" i="9"/>
  <c r="O53" i="9" s="1"/>
  <c r="M53" i="9"/>
  <c r="I53" i="9"/>
  <c r="N52" i="9"/>
  <c r="M52" i="9"/>
  <c r="O52" i="9" s="1"/>
  <c r="I52" i="9"/>
  <c r="N51" i="9"/>
  <c r="O51" i="9" s="1"/>
  <c r="M51" i="9"/>
  <c r="I51" i="9"/>
  <c r="N50" i="9"/>
  <c r="M50" i="9"/>
  <c r="O50" i="9" s="1"/>
  <c r="I50" i="9"/>
  <c r="N49" i="9"/>
  <c r="O49" i="9" s="1"/>
  <c r="M49" i="9"/>
  <c r="I49" i="9"/>
  <c r="N48" i="9"/>
  <c r="M48" i="9"/>
  <c r="O48" i="9" s="1"/>
  <c r="I48" i="9"/>
  <c r="N47" i="9"/>
  <c r="O47" i="9" s="1"/>
  <c r="M47" i="9"/>
  <c r="I47" i="9"/>
  <c r="N46" i="9"/>
  <c r="M46" i="9"/>
  <c r="O46" i="9" s="1"/>
  <c r="I46" i="9"/>
  <c r="N45" i="9"/>
  <c r="O45" i="9" s="1"/>
  <c r="M45" i="9"/>
  <c r="I45" i="9"/>
  <c r="N44" i="9"/>
  <c r="M44" i="9"/>
  <c r="O44" i="9" s="1"/>
  <c r="I44" i="9"/>
  <c r="N43" i="9"/>
  <c r="O43" i="9" s="1"/>
  <c r="M43" i="9"/>
  <c r="I43" i="9"/>
  <c r="N42" i="9"/>
  <c r="M42" i="9"/>
  <c r="O42" i="9" s="1"/>
  <c r="I42" i="9"/>
  <c r="N41" i="9"/>
  <c r="O41" i="9" s="1"/>
  <c r="M41" i="9"/>
  <c r="I41" i="9"/>
  <c r="N40" i="9"/>
  <c r="M40" i="9"/>
  <c r="O40" i="9" s="1"/>
  <c r="I40" i="9"/>
  <c r="N39" i="9"/>
  <c r="O39" i="9" s="1"/>
  <c r="M39" i="9"/>
  <c r="I39" i="9"/>
  <c r="N38" i="9"/>
  <c r="M38" i="9"/>
  <c r="O38" i="9" s="1"/>
  <c r="I38" i="9"/>
  <c r="N37" i="9"/>
  <c r="O37" i="9" s="1"/>
  <c r="M37" i="9"/>
  <c r="I37" i="9"/>
  <c r="N36" i="9"/>
  <c r="M36" i="9"/>
  <c r="O36" i="9" s="1"/>
  <c r="I36" i="9"/>
  <c r="N35" i="9"/>
  <c r="O35" i="9" s="1"/>
  <c r="M35" i="9"/>
  <c r="I35" i="9"/>
  <c r="N34" i="9"/>
  <c r="M34" i="9"/>
  <c r="O34" i="9" s="1"/>
  <c r="I34" i="9"/>
  <c r="N33" i="9"/>
  <c r="O33" i="9" s="1"/>
  <c r="M33" i="9"/>
  <c r="I33" i="9"/>
  <c r="N32" i="9"/>
  <c r="M32" i="9"/>
  <c r="O32" i="9" s="1"/>
  <c r="I32" i="9"/>
  <c r="N31" i="9"/>
  <c r="O31" i="9" s="1"/>
  <c r="M31" i="9"/>
  <c r="I31" i="9"/>
  <c r="N30" i="9"/>
  <c r="M30" i="9"/>
  <c r="O30" i="9" s="1"/>
  <c r="I30" i="9"/>
  <c r="M29" i="9"/>
  <c r="O29" i="9" s="1"/>
  <c r="I29" i="9"/>
  <c r="N28" i="9"/>
  <c r="M28" i="9"/>
  <c r="O28" i="9" s="1"/>
  <c r="I28" i="9"/>
  <c r="N27" i="9"/>
  <c r="M27" i="9"/>
  <c r="O27" i="9" s="1"/>
  <c r="I27" i="9"/>
  <c r="N26" i="9"/>
  <c r="M26" i="9"/>
  <c r="O26" i="9" s="1"/>
  <c r="I26" i="9"/>
  <c r="N25" i="9"/>
  <c r="M25" i="9"/>
  <c r="O25" i="9" s="1"/>
  <c r="I25" i="9"/>
  <c r="N24" i="9"/>
  <c r="M24" i="9"/>
  <c r="O24" i="9" s="1"/>
  <c r="I24" i="9"/>
  <c r="N23" i="9"/>
  <c r="M23" i="9"/>
  <c r="O23" i="9" s="1"/>
  <c r="I23" i="9"/>
  <c r="N22" i="9"/>
  <c r="M22" i="9"/>
  <c r="O22" i="9" s="1"/>
  <c r="I22" i="9"/>
  <c r="I15" i="9"/>
  <c r="M14" i="9"/>
  <c r="J15" i="9"/>
  <c r="M13" i="9"/>
  <c r="J13" i="9"/>
  <c r="J12" i="9"/>
  <c r="I12" i="9"/>
  <c r="J11" i="9"/>
  <c r="J10" i="9"/>
  <c r="J9" i="9"/>
  <c r="I9" i="9"/>
  <c r="I8" i="9"/>
  <c r="J8" i="9"/>
  <c r="J7" i="9"/>
  <c r="M5" i="9"/>
  <c r="O5" i="9" s="1"/>
  <c r="J5" i="9"/>
  <c r="I4" i="9"/>
  <c r="G4" i="4"/>
  <c r="H4" i="4"/>
  <c r="H5" i="4"/>
  <c r="H6" i="4"/>
  <c r="H7" i="4"/>
  <c r="H8" i="4"/>
  <c r="H9" i="4"/>
  <c r="H10" i="4"/>
  <c r="H11" i="4"/>
  <c r="H12" i="4"/>
  <c r="H13" i="4"/>
  <c r="H14" i="4"/>
  <c r="H15" i="4"/>
  <c r="G4" i="5"/>
  <c r="I9" i="4"/>
  <c r="J13" i="4"/>
  <c r="G13" i="4"/>
  <c r="I22" i="4"/>
  <c r="I128" i="4"/>
  <c r="I129" i="4"/>
  <c r="I130" i="4"/>
  <c r="I123" i="4"/>
  <c r="I124" i="4"/>
  <c r="I125" i="4"/>
  <c r="I126" i="4"/>
  <c r="I127" i="4"/>
  <c r="I131" i="4"/>
  <c r="I132" i="4"/>
  <c r="I133" i="4"/>
  <c r="O13" i="9" l="1"/>
  <c r="O14" i="9"/>
  <c r="M4" i="9"/>
  <c r="M12" i="9"/>
  <c r="I6" i="9"/>
  <c r="I14" i="9"/>
  <c r="M15" i="9"/>
  <c r="O15" i="9" s="1"/>
  <c r="I5" i="9"/>
  <c r="J6" i="9"/>
  <c r="I13" i="9"/>
  <c r="J14" i="9"/>
  <c r="M6" i="9"/>
  <c r="O6" i="9" s="1"/>
  <c r="J4" i="5"/>
  <c r="N25" i="4"/>
  <c r="O4" i="9" l="1"/>
  <c r="M7" i="9"/>
  <c r="O12" i="9"/>
  <c r="M16" i="9"/>
  <c r="O16" i="9" s="1"/>
  <c r="G9" i="5"/>
  <c r="N26" i="4"/>
  <c r="M26" i="4"/>
  <c r="G5" i="5"/>
  <c r="G6" i="5"/>
  <c r="G7" i="5"/>
  <c r="G8" i="5"/>
  <c r="G10" i="5"/>
  <c r="G11" i="5"/>
  <c r="G12" i="5"/>
  <c r="G13" i="5"/>
  <c r="G14" i="5"/>
  <c r="G15" i="5"/>
  <c r="N22" i="4"/>
  <c r="N24" i="4"/>
  <c r="N42" i="4"/>
  <c r="N30" i="4"/>
  <c r="N34" i="4"/>
  <c r="N27" i="4"/>
  <c r="N36" i="4"/>
  <c r="N32" i="4"/>
  <c r="N28" i="4"/>
  <c r="N39" i="4"/>
  <c r="N31" i="4"/>
  <c r="N33" i="4"/>
  <c r="N40" i="4"/>
  <c r="N35" i="4"/>
  <c r="N48" i="4"/>
  <c r="N38" i="4"/>
  <c r="N46" i="4"/>
  <c r="N41" i="4"/>
  <c r="N37" i="4"/>
  <c r="N51" i="4"/>
  <c r="N112" i="4"/>
  <c r="N43" i="4"/>
  <c r="N62" i="4"/>
  <c r="N70" i="4"/>
  <c r="N96" i="4"/>
  <c r="N45" i="4"/>
  <c r="N50" i="4"/>
  <c r="N94" i="4"/>
  <c r="N61" i="4"/>
  <c r="N113" i="4"/>
  <c r="N52" i="4"/>
  <c r="N54" i="4"/>
  <c r="N60" i="4"/>
  <c r="N47" i="4"/>
  <c r="N65" i="4"/>
  <c r="N53" i="4"/>
  <c r="N83" i="4"/>
  <c r="N55" i="4"/>
  <c r="N63" i="4"/>
  <c r="N79" i="4"/>
  <c r="N72" i="4"/>
  <c r="N59" i="4"/>
  <c r="N86" i="4"/>
  <c r="N76" i="4"/>
  <c r="N67" i="4"/>
  <c r="N73" i="4"/>
  <c r="N75" i="4"/>
  <c r="N56" i="4"/>
  <c r="N69" i="4"/>
  <c r="N85" i="4"/>
  <c r="N115" i="4"/>
  <c r="N77" i="4"/>
  <c r="N44" i="4"/>
  <c r="N82" i="4"/>
  <c r="N64" i="4"/>
  <c r="N57" i="4"/>
  <c r="N87" i="4"/>
  <c r="N81" i="4"/>
  <c r="N49" i="4"/>
  <c r="N105" i="4"/>
  <c r="N74" i="4"/>
  <c r="N84" i="4"/>
  <c r="N78" i="4"/>
  <c r="N88" i="4"/>
  <c r="N66" i="4"/>
  <c r="N119" i="4"/>
  <c r="N102" i="4"/>
  <c r="N106" i="4"/>
  <c r="N68" i="4"/>
  <c r="N80" i="4"/>
  <c r="N116" i="4"/>
  <c r="N103" i="4"/>
  <c r="N98" i="4"/>
  <c r="N71" i="4"/>
  <c r="N114" i="4"/>
  <c r="N89" i="4"/>
  <c r="N92" i="4"/>
  <c r="N97" i="4"/>
  <c r="N99" i="4"/>
  <c r="N101" i="4"/>
  <c r="N110" i="4"/>
  <c r="N95" i="4"/>
  <c r="N90" i="4"/>
  <c r="N120" i="4"/>
  <c r="N107" i="4"/>
  <c r="N121" i="4"/>
  <c r="N104" i="4"/>
  <c r="N118" i="4"/>
  <c r="N58" i="4"/>
  <c r="N91" i="4"/>
  <c r="N93" i="4"/>
  <c r="N100" i="4"/>
  <c r="N108" i="4"/>
  <c r="N109" i="4"/>
  <c r="N111" i="4"/>
  <c r="N122" i="4"/>
  <c r="N117" i="4"/>
  <c r="N23" i="4"/>
  <c r="M23" i="4"/>
  <c r="M24" i="4"/>
  <c r="M25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3" i="4"/>
  <c r="M119" i="4"/>
  <c r="M122" i="4"/>
  <c r="M114" i="4"/>
  <c r="M117" i="4"/>
  <c r="M112" i="4"/>
  <c r="M115" i="4"/>
  <c r="M116" i="4"/>
  <c r="M120" i="4"/>
  <c r="M121" i="4"/>
  <c r="M118" i="4"/>
  <c r="M22" i="4"/>
  <c r="G5" i="4"/>
  <c r="G6" i="4"/>
  <c r="G7" i="4"/>
  <c r="G8" i="4"/>
  <c r="G10" i="4"/>
  <c r="G11" i="4"/>
  <c r="G12" i="4"/>
  <c r="G14" i="4"/>
  <c r="J15" i="4" l="1"/>
  <c r="J14" i="4"/>
  <c r="M15" i="4"/>
  <c r="O76" i="4"/>
  <c r="I57" i="4"/>
  <c r="I83" i="4"/>
  <c r="O56" i="4"/>
  <c r="J12" i="5"/>
  <c r="I49" i="4"/>
  <c r="I90" i="4"/>
  <c r="I74" i="4"/>
  <c r="O50" i="4"/>
  <c r="I68" i="4"/>
  <c r="O72" i="4"/>
  <c r="J10" i="4"/>
  <c r="I50" i="4"/>
  <c r="I12" i="4"/>
  <c r="I35" i="4"/>
  <c r="I51" i="4"/>
  <c r="I28" i="4"/>
  <c r="O96" i="4"/>
  <c r="O79" i="4"/>
  <c r="O81" i="4"/>
  <c r="O41" i="4"/>
  <c r="O29" i="4"/>
  <c r="I34" i="4"/>
  <c r="O40" i="4"/>
  <c r="O116" i="4"/>
  <c r="O36" i="4"/>
  <c r="O35" i="4"/>
  <c r="O73" i="4"/>
  <c r="O80" i="4"/>
  <c r="O48" i="4"/>
  <c r="O32" i="4"/>
  <c r="O63" i="4"/>
  <c r="O55" i="4"/>
  <c r="I79" i="4"/>
  <c r="I27" i="4"/>
  <c r="I29" i="4"/>
  <c r="I25" i="4"/>
  <c r="I54" i="4"/>
  <c r="I31" i="4"/>
  <c r="I52" i="4"/>
  <c r="I92" i="4"/>
  <c r="I64" i="4"/>
  <c r="I32" i="4"/>
  <c r="O39" i="4"/>
  <c r="O69" i="4"/>
  <c r="O52" i="4"/>
  <c r="O28" i="4"/>
  <c r="O46" i="4"/>
  <c r="O75" i="4"/>
  <c r="I45" i="4"/>
  <c r="O49" i="4"/>
  <c r="O33" i="4"/>
  <c r="I98" i="4"/>
  <c r="O31" i="4"/>
  <c r="I100" i="4"/>
  <c r="I76" i="4"/>
  <c r="I41" i="4"/>
  <c r="I36" i="4"/>
  <c r="O70" i="4"/>
  <c r="O38" i="4"/>
  <c r="I71" i="4"/>
  <c r="I30" i="4"/>
  <c r="O45" i="4"/>
  <c r="O37" i="4"/>
  <c r="I89" i="4"/>
  <c r="I94" i="4"/>
  <c r="I102" i="4"/>
  <c r="O114" i="4"/>
  <c r="O59" i="4"/>
  <c r="J9" i="4"/>
  <c r="J8" i="4"/>
  <c r="J12" i="4"/>
  <c r="J5" i="4"/>
  <c r="J7" i="4"/>
  <c r="J11" i="4"/>
  <c r="J6" i="4"/>
  <c r="I23" i="4"/>
  <c r="O84" i="4"/>
  <c r="O101" i="4"/>
  <c r="O99" i="4"/>
  <c r="J14" i="5"/>
  <c r="N14" i="4" s="1"/>
  <c r="O110" i="4"/>
  <c r="O97" i="4"/>
  <c r="J13" i="5"/>
  <c r="N13" i="4" s="1"/>
  <c r="O122" i="4"/>
  <c r="O108" i="4"/>
  <c r="O113" i="4"/>
  <c r="O111" i="4"/>
  <c r="O119" i="4"/>
  <c r="O67" i="4"/>
  <c r="O117" i="4"/>
  <c r="O98" i="4"/>
  <c r="O66" i="4"/>
  <c r="O78" i="4"/>
  <c r="O71" i="4"/>
  <c r="O74" i="4"/>
  <c r="O105" i="4"/>
  <c r="O65" i="4"/>
  <c r="O95" i="4"/>
  <c r="O103" i="4"/>
  <c r="O102" i="4"/>
  <c r="O100" i="4"/>
  <c r="O94" i="4"/>
  <c r="O30" i="4"/>
  <c r="O42" i="4"/>
  <c r="O93" i="4"/>
  <c r="O61" i="4"/>
  <c r="O109" i="4"/>
  <c r="O47" i="4"/>
  <c r="O92" i="4"/>
  <c r="O22" i="4"/>
  <c r="O91" i="4"/>
  <c r="O118" i="4"/>
  <c r="O26" i="4"/>
  <c r="O25" i="4"/>
  <c r="O86" i="4"/>
  <c r="O54" i="4"/>
  <c r="O60" i="4"/>
  <c r="O58" i="4"/>
  <c r="O89" i="4"/>
  <c r="O57" i="4"/>
  <c r="O88" i="4"/>
  <c r="O24" i="4"/>
  <c r="O87" i="4"/>
  <c r="O23" i="4"/>
  <c r="O85" i="4"/>
  <c r="I73" i="4"/>
  <c r="O83" i="4"/>
  <c r="I91" i="4"/>
  <c r="I59" i="4"/>
  <c r="I58" i="4"/>
  <c r="O68" i="4"/>
  <c r="I82" i="4"/>
  <c r="I56" i="4"/>
  <c r="O106" i="4"/>
  <c r="O34" i="4"/>
  <c r="I53" i="4"/>
  <c r="I26" i="4"/>
  <c r="J15" i="5"/>
  <c r="N15" i="4" s="1"/>
  <c r="J6" i="5"/>
  <c r="N6" i="4" s="1"/>
  <c r="I120" i="4"/>
  <c r="I93" i="4"/>
  <c r="I63" i="4"/>
  <c r="I61" i="4"/>
  <c r="O27" i="4"/>
  <c r="I69" i="4"/>
  <c r="I66" i="4"/>
  <c r="I88" i="4"/>
  <c r="I48" i="4"/>
  <c r="I119" i="4"/>
  <c r="I101" i="4"/>
  <c r="I24" i="4"/>
  <c r="I108" i="4"/>
  <c r="I55" i="4"/>
  <c r="I105" i="4"/>
  <c r="I47" i="4"/>
  <c r="J5" i="5"/>
  <c r="N5" i="4" s="1"/>
  <c r="I60" i="4"/>
  <c r="I121" i="4"/>
  <c r="I116" i="4"/>
  <c r="I87" i="4"/>
  <c r="O53" i="4"/>
  <c r="I84" i="4"/>
  <c r="I70" i="4"/>
  <c r="I67" i="4"/>
  <c r="O120" i="4"/>
  <c r="I115" i="4"/>
  <c r="I117" i="4"/>
  <c r="O90" i="4"/>
  <c r="I111" i="4"/>
  <c r="I112" i="4"/>
  <c r="O64" i="4"/>
  <c r="O62" i="4"/>
  <c r="I75" i="4"/>
  <c r="I78" i="4"/>
  <c r="O112" i="4"/>
  <c r="N4" i="4"/>
  <c r="I107" i="4"/>
  <c r="O121" i="4"/>
  <c r="I97" i="4"/>
  <c r="I44" i="4"/>
  <c r="O115" i="4"/>
  <c r="I43" i="4"/>
  <c r="I122" i="4"/>
  <c r="I42" i="4"/>
  <c r="O51" i="4"/>
  <c r="I86" i="4"/>
  <c r="I114" i="4"/>
  <c r="I81" i="4"/>
  <c r="O82" i="4"/>
  <c r="I118" i="4"/>
  <c r="I85" i="4"/>
  <c r="I113" i="4"/>
  <c r="I106" i="4"/>
  <c r="I77" i="4"/>
  <c r="O77" i="4"/>
  <c r="I99" i="4"/>
  <c r="I103" i="4"/>
  <c r="I33" i="4"/>
  <c r="O107" i="4"/>
  <c r="O43" i="4"/>
  <c r="I65" i="4"/>
  <c r="I95" i="4"/>
  <c r="I46" i="4"/>
  <c r="I40" i="4"/>
  <c r="O44" i="4"/>
  <c r="I104" i="4"/>
  <c r="I38" i="4"/>
  <c r="I37" i="4"/>
  <c r="I110" i="4"/>
  <c r="I62" i="4"/>
  <c r="I39" i="4"/>
  <c r="O104" i="4"/>
  <c r="I109" i="4"/>
  <c r="I72" i="4"/>
  <c r="I96" i="4"/>
  <c r="I80" i="4"/>
  <c r="I8" i="4"/>
  <c r="I7" i="4"/>
  <c r="I6" i="4"/>
  <c r="I5" i="4"/>
  <c r="I4" i="4"/>
  <c r="I15" i="4"/>
  <c r="I14" i="4"/>
  <c r="I13" i="4"/>
  <c r="I11" i="4"/>
  <c r="I10" i="4"/>
  <c r="M14" i="4"/>
  <c r="M5" i="4"/>
  <c r="M13" i="4"/>
  <c r="M6" i="4"/>
  <c r="M12" i="4"/>
  <c r="M4" i="4"/>
  <c r="N12" i="4" l="1"/>
  <c r="J16" i="5"/>
  <c r="M16" i="4"/>
  <c r="O16" i="4" s="1"/>
  <c r="O12" i="4"/>
  <c r="O14" i="4"/>
  <c r="O13" i="4"/>
  <c r="O6" i="4"/>
  <c r="O5" i="4"/>
  <c r="O15" i="4"/>
  <c r="O4" i="4"/>
</calcChain>
</file>

<file path=xl/sharedStrings.xml><?xml version="1.0" encoding="utf-8"?>
<sst xmlns="http://schemas.openxmlformats.org/spreadsheetml/2006/main" count="6568" uniqueCount="174">
  <si>
    <t>EMS MARCAS</t>
  </si>
  <si>
    <t>TEUTO</t>
  </si>
  <si>
    <t>GEOLAB</t>
  </si>
  <si>
    <t>FORTLIFE</t>
  </si>
  <si>
    <t>BIOSINTETICA (ACHE)</t>
  </si>
  <si>
    <t>NUTRIEX INDUSTRIA DE COSMETICOS</t>
  </si>
  <si>
    <t>PRUDENCE</t>
  </si>
  <si>
    <t>PRINCIPIA</t>
  </si>
  <si>
    <t>HIDROLIGHT</t>
  </si>
  <si>
    <t>NUK</t>
  </si>
  <si>
    <t>MAXINUTRI</t>
  </si>
  <si>
    <t>AIRELA</t>
  </si>
  <si>
    <t>NATULAB</t>
  </si>
  <si>
    <t>BELLIZ</t>
  </si>
  <si>
    <t>BRASTERAPICA</t>
  </si>
  <si>
    <t>NEO QUIMICA</t>
  </si>
  <si>
    <t>GLOBO</t>
  </si>
  <si>
    <t>ELOFAR</t>
  </si>
  <si>
    <t>LEGRAND</t>
  </si>
  <si>
    <t>COPAPHARMA</t>
  </si>
  <si>
    <t>BLAU</t>
  </si>
  <si>
    <t>NOVAQUIMICA</t>
  </si>
  <si>
    <t>MEDQUIMICA</t>
  </si>
  <si>
    <t>ABL</t>
  </si>
  <si>
    <t>MANTECORP FARMASA</t>
  </si>
  <si>
    <t>ZYDUS NIKKHO</t>
  </si>
  <si>
    <t>EMS GENERICO</t>
  </si>
  <si>
    <t>POLIBRINQ</t>
  </si>
  <si>
    <t>MEDLEVENSOHN</t>
  </si>
  <si>
    <t>DOVALLE</t>
  </si>
  <si>
    <t>EUROFARMA</t>
  </si>
  <si>
    <t>AS ERVAS CURAM</t>
  </si>
  <si>
    <t>MEDLEY</t>
  </si>
  <si>
    <t>BELFAR</t>
  </si>
  <si>
    <t>IRIDIUM LABS</t>
  </si>
  <si>
    <t>FQM</t>
  </si>
  <si>
    <t>ROSA SELVAGEM</t>
  </si>
  <si>
    <t>NATIVITA</t>
  </si>
  <si>
    <t>UNIPHAR</t>
  </si>
  <si>
    <t>CREMER</t>
  </si>
  <si>
    <t>VITAMEDIC</t>
  </si>
  <si>
    <t>MC2</t>
  </si>
  <si>
    <t>SANDOZ</t>
  </si>
  <si>
    <t>GREENPHARMA</t>
  </si>
  <si>
    <t>BIOLAB</t>
  </si>
  <si>
    <t>BIOLAND</t>
  </si>
  <si>
    <t>THEODORO SOBRAL</t>
  </si>
  <si>
    <t>FARMAX</t>
  </si>
  <si>
    <t>UNIAO QUIMICA</t>
  </si>
  <si>
    <t>MULTILAB</t>
  </si>
  <si>
    <t>SANITY</t>
  </si>
  <si>
    <t>JP INDUSTRIA FARMACEUTICA</t>
  </si>
  <si>
    <t>SUPLANATURAL</t>
  </si>
  <si>
    <t>COTTONBABY</t>
  </si>
  <si>
    <t>AVVIO INDUSTRIA</t>
  </si>
  <si>
    <t>EKOBE</t>
  </si>
  <si>
    <t>BONATURY</t>
  </si>
  <si>
    <t>DRICA</t>
  </si>
  <si>
    <t>PHARMASCIENCE</t>
  </si>
  <si>
    <t>PHARLAB</t>
  </si>
  <si>
    <t>BELLA PHYTUS</t>
  </si>
  <si>
    <t>MCG -CONLIFE</t>
  </si>
  <si>
    <t>LILLO</t>
  </si>
  <si>
    <t>MULTILASER INDUSTRIAL S.A.</t>
  </si>
  <si>
    <t>DKT INTERNACIONAL</t>
  </si>
  <si>
    <t>TALGE</t>
  </si>
  <si>
    <t>DESCARPACK</t>
  </si>
  <si>
    <t>FIONA</t>
  </si>
  <si>
    <t>COSMED</t>
  </si>
  <si>
    <t>TROL COSMETICOS</t>
  </si>
  <si>
    <t>NATURELIFE</t>
  </si>
  <si>
    <t>RILEX</t>
  </si>
  <si>
    <t>CATARINENSE PHARMA</t>
  </si>
  <si>
    <t>VALDA</t>
  </si>
  <si>
    <t>ARTE NATIVA</t>
  </si>
  <si>
    <t>EXUBERANCE COSMETICOS</t>
  </si>
  <si>
    <t>GREEN</t>
  </si>
  <si>
    <t>TORRENT</t>
  </si>
  <si>
    <t>RECKITT BENCKISER</t>
  </si>
  <si>
    <t>VIVER BEM +</t>
  </si>
  <si>
    <t>MULTIKIDS BABY</t>
  </si>
  <si>
    <t>3B INDUSTRIA</t>
  </si>
  <si>
    <t>HYPERMARCAS BOZZANO</t>
  </si>
  <si>
    <t>SR SALDANHA RODRIGUES</t>
  </si>
  <si>
    <t>SANFARMA</t>
  </si>
  <si>
    <t>MILI S/A</t>
  </si>
  <si>
    <t>LASER</t>
  </si>
  <si>
    <t>NOVARTIS</t>
  </si>
  <si>
    <t>GLOBO NUTRICEUTICOS</t>
  </si>
  <si>
    <t>ADV FARMA</t>
  </si>
  <si>
    <t>OAZ</t>
  </si>
  <si>
    <t>DELTA</t>
  </si>
  <si>
    <t>ULTRACOTTON</t>
  </si>
  <si>
    <t>LINHA TERAPEUTICA ORGANICA GOLDEN</t>
  </si>
  <si>
    <t>MELHORMED</t>
  </si>
  <si>
    <t>BERGAMO</t>
  </si>
  <si>
    <t>ARBORETO</t>
  </si>
  <si>
    <t>MISSNER</t>
  </si>
  <si>
    <t>VOGHA HIGIENE E BEL.</t>
  </si>
  <si>
    <t>CIRURGICA FERNANDES</t>
  </si>
  <si>
    <t>CALYPSO</t>
  </si>
  <si>
    <t>Mês</t>
  </si>
  <si>
    <t>Janeiro</t>
  </si>
  <si>
    <t>Fevereiro</t>
  </si>
  <si>
    <t>Março</t>
  </si>
  <si>
    <t>% Mensal</t>
  </si>
  <si>
    <t>Valor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</si>
  <si>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</si>
  <si>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</si>
  <si>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</si>
  <si>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</si>
  <si>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</si>
  <si>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</si>
  <si>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</si>
  <si>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</si>
  <si>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</si>
  <si>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Quadrimestre</t>
  </si>
  <si>
    <t>Q1</t>
  </si>
  <si>
    <t>Q2</t>
  </si>
  <si>
    <t>Q3</t>
  </si>
  <si>
    <t>Trimestre</t>
  </si>
  <si>
    <t>T1</t>
  </si>
  <si>
    <t>T2</t>
  </si>
  <si>
    <t>T3</t>
  </si>
  <si>
    <t>T4</t>
  </si>
  <si>
    <t>Resumo de Resultados</t>
  </si>
  <si>
    <t>Empresa</t>
  </si>
  <si>
    <t>Ranking Anual</t>
  </si>
  <si>
    <t>Ranking Mensal</t>
  </si>
  <si>
    <t>Pesquisa Mês:</t>
  </si>
  <si>
    <t>CAZI</t>
  </si>
  <si>
    <t>ACHE ETICO</t>
  </si>
  <si>
    <t>HYPERMARCAS MONANGE</t>
  </si>
  <si>
    <t>BD PLASTIPAK</t>
  </si>
  <si>
    <t>MELCON</t>
  </si>
  <si>
    <t>SUPER SHAVE</t>
  </si>
  <si>
    <t>MEDICATE</t>
  </si>
  <si>
    <t>CATARINENSE NUTRICEUTICO</t>
  </si>
  <si>
    <t>ATLETICA</t>
  </si>
  <si>
    <t>BABYGO</t>
  </si>
  <si>
    <t>25. Fat.</t>
  </si>
  <si>
    <t>24. Fat</t>
  </si>
  <si>
    <t>25. Resultado</t>
  </si>
  <si>
    <t>24. Resultado</t>
  </si>
  <si>
    <t>↑↓%</t>
  </si>
  <si>
    <t>NOVA QUIMICA GENERICO</t>
  </si>
  <si>
    <t>MY HEALTH</t>
  </si>
  <si>
    <t>OTC - BIOWORLD</t>
  </si>
  <si>
    <t>MaM</t>
  </si>
  <si>
    <t>BIOSYNEX CHEMBIO</t>
  </si>
  <si>
    <t>Laboratório</t>
  </si>
  <si>
    <t xml:space="preserve">MAIO </t>
  </si>
  <si>
    <t>ABRIL</t>
  </si>
  <si>
    <t>Laboratótios</t>
  </si>
  <si>
    <t>Laboratótios 2</t>
  </si>
  <si>
    <t>LE BLUE</t>
  </si>
  <si>
    <t>BUBA BABY</t>
  </si>
  <si>
    <t>Total 2024</t>
  </si>
  <si>
    <t xml:space="preserve">Junho </t>
  </si>
  <si>
    <t>PRATI DONADUZZI</t>
  </si>
  <si>
    <t>EUROFARMA OTC</t>
  </si>
  <si>
    <t>HERBISSIMO</t>
  </si>
  <si>
    <t>MABRA</t>
  </si>
  <si>
    <t>NUNESFARMA</t>
  </si>
  <si>
    <t>GERMED</t>
  </si>
  <si>
    <t>SILVER CARE</t>
  </si>
  <si>
    <t>CREMER TOPZ</t>
  </si>
  <si>
    <t>Resumo de Resultados Líquido sem OL</t>
  </si>
  <si>
    <t xml:space="preserve">BIOSINTETICA </t>
  </si>
  <si>
    <t>KANECHOM</t>
  </si>
  <si>
    <t>BARUEL</t>
  </si>
  <si>
    <t>MEDIX BRASIL</t>
  </si>
  <si>
    <t>25. Resultado 2</t>
  </si>
  <si>
    <t xml:space="preserve">26. Resultado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</si>
</sst>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0"/>
      <name val="Aptos"/>
      <family val="2"/>
    </font>
    <font>
      <sz val="12"/>
      <color theme="1"/>
      <name val="Calibri"/>
      <family val="2"/>
      <scheme val="minor"/>
    </font>
    <font>
      <b/>
      <sz val="18"/>
      <color theme="0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44" fontId="0" fillId="0" borderId="0" xfId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44" fontId="2" fillId="0" borderId="0" xfId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10" fontId="2" fillId="0" borderId="0" xfId="0" applyNumberFormat="1" applyFont="1" applyAlignment="1">
      <alignment vertical="center"/>
    </xf>
    <xf numFmtId="0" fontId="4" fillId="0" borderId="0" xfId="0" applyFont="1"/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1" applyFont="1" applyFill="1" applyBorder="1" applyAlignment="1">
      <alignment horizontal="center" vertical="center"/>
    </xf>
    <xf numFmtId="0" fontId="7" fillId="0" borderId="0" xfId="0" applyFont="1"/>
    <xf numFmtId="0" fontId="9" fillId="0" borderId="10" xfId="0" applyFont="1" applyBorder="1" applyAlignment="1">
      <alignment horizontal="center" vertical="center"/>
    </xf>
    <xf numFmtId="10" fontId="9" fillId="0" borderId="10" xfId="0" applyNumberFormat="1" applyFont="1" applyBorder="1" applyAlignment="1">
      <alignment horizontal="center" vertical="center"/>
    </xf>
    <xf numFmtId="0" fontId="8" fillId="0" borderId="0" xfId="0" applyFont="1"/>
    <xf numFmtId="10" fontId="8" fillId="0" borderId="0" xfId="0" applyNumberFormat="1" applyFont="1" applyAlignment="1">
      <alignment horizontal="center"/>
    </xf>
    <xf numFmtId="10" fontId="8" fillId="0" borderId="0" xfId="0" applyNumberFormat="1" applyFont="1"/>
    <xf numFmtId="0" fontId="2" fillId="0" borderId="2" xfId="0" applyFont="1" applyBorder="1"/>
    <xf numFmtId="164" fontId="2" fillId="0" borderId="3" xfId="0" applyNumberFormat="1" applyFont="1" applyBorder="1"/>
    <xf numFmtId="0" fontId="2" fillId="0" borderId="7" xfId="0" applyFont="1" applyBorder="1"/>
    <xf numFmtId="164" fontId="2" fillId="0" borderId="9" xfId="0" applyNumberFormat="1" applyFont="1" applyBorder="1"/>
    <xf numFmtId="0" fontId="8" fillId="0" borderId="4" xfId="0" applyFont="1" applyBorder="1"/>
    <xf numFmtId="0" fontId="8" fillId="0" borderId="6" xfId="0" applyFont="1" applyBorder="1"/>
    <xf numFmtId="44" fontId="9" fillId="0" borderId="10" xfId="1" applyFont="1" applyBorder="1" applyAlignment="1">
      <alignment horizontal="center" vertical="center"/>
    </xf>
    <xf numFmtId="44" fontId="8" fillId="0" borderId="0" xfId="1" applyFont="1"/>
    <xf numFmtId="44" fontId="2" fillId="0" borderId="0" xfId="1" applyFont="1" applyAlignment="1">
      <alignment vertical="center"/>
    </xf>
    <xf numFmtId="44" fontId="8" fillId="0" borderId="0" xfId="1" applyFont="1" applyAlignment="1">
      <alignment vertical="center"/>
    </xf>
    <xf numFmtId="44" fontId="7" fillId="0" borderId="0" xfId="1" applyFont="1" applyAlignment="1">
      <alignment vertical="center"/>
    </xf>
    <xf numFmtId="44" fontId="0" fillId="0" borderId="0" xfId="1" applyFont="1"/>
    <xf numFmtId="0" fontId="6" fillId="3" borderId="8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0" xfId="1" applyFont="1" applyFill="1" applyBorder="1" applyAlignment="1"/>
    <xf numFmtId="44" fontId="8" fillId="0" borderId="0" xfId="1" applyFont="1" applyAlignment="1"/>
    <xf numFmtId="44" fontId="8" fillId="0" borderId="0" xfId="1" applyFont="1" applyFill="1" applyAlignment="1"/>
    <xf numFmtId="44" fontId="11" fillId="0" borderId="0" xfId="1" applyFont="1" applyAlignment="1"/>
    <xf numFmtId="0" fontId="11" fillId="0" borderId="0" xfId="0" applyFont="1"/>
    <xf numFmtId="0" fontId="8" fillId="0" borderId="0" xfId="0" applyFont="1" applyAlignment="1">
      <alignment horizontal="center"/>
    </xf>
    <xf numFmtId="0" fontId="2" fillId="3" borderId="7" xfId="0" applyFont="1" applyFill="1" applyBorder="1"/>
    <xf numFmtId="164" fontId="2" fillId="3" borderId="9" xfId="0" applyNumberFormat="1" applyFont="1" applyFill="1" applyBorder="1"/>
    <xf numFmtId="0" fontId="8" fillId="0" borderId="1" xfId="0" applyFont="1" applyBorder="1" applyAlignment="1">
      <alignment vertical="center"/>
    </xf>
    <xf numFmtId="10" fontId="8" fillId="0" borderId="1" xfId="0" applyNumberFormat="1" applyFont="1" applyBorder="1" applyAlignment="1">
      <alignment horizontal="center" vertical="center"/>
    </xf>
    <xf numFmtId="10" fontId="8" fillId="0" borderId="1" xfId="2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44" fontId="8" fillId="0" borderId="1" xfId="1" applyFont="1" applyBorder="1" applyAlignment="1">
      <alignment horizontal="center"/>
    </xf>
    <xf numFmtId="0" fontId="8" fillId="0" borderId="1" xfId="0" applyFont="1" applyBorder="1"/>
    <xf numFmtId="44" fontId="9" fillId="0" borderId="1" xfId="1" applyFont="1" applyFill="1" applyBorder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  <xf numFmtId="44" fontId="8" fillId="0" borderId="1" xfId="1" applyFont="1" applyBorder="1"/>
    <xf numFmtId="0" fontId="6" fillId="0" borderId="0" xfId="0" applyFont="1" applyAlignment="1">
      <alignment horizontal="center" vertical="center"/>
    </xf>
    <xf numFmtId="44" fontId="6" fillId="0" borderId="0" xfId="1" applyFont="1" applyAlignment="1">
      <alignment vertical="center"/>
    </xf>
    <xf numFmtId="164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horizontal="center" vertical="center"/>
    </xf>
    <xf numFmtId="44" fontId="2" fillId="0" borderId="0" xfId="1" applyFont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44" fontId="8" fillId="4" borderId="0" xfId="1" applyFont="1" applyFill="1" applyBorder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44" fontId="2" fillId="4" borderId="0" xfId="1" applyFont="1" applyFill="1" applyAlignment="1">
      <alignment vertical="center"/>
    </xf>
    <xf numFmtId="44" fontId="2" fillId="4" borderId="0" xfId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44" fontId="6" fillId="3" borderId="0" xfId="0" applyNumberFormat="1" applyFont="1" applyFill="1" applyAlignment="1">
      <alignment vertical="center"/>
    </xf>
    <xf numFmtId="44" fontId="6" fillId="3" borderId="0" xfId="1" applyFont="1" applyFill="1" applyAlignment="1">
      <alignment vertical="center"/>
    </xf>
    <xf numFmtId="10" fontId="13" fillId="5" borderId="0" xfId="2" applyNumberFormat="1" applyFont="1" applyFill="1" applyAlignment="1">
      <alignment vertical="center"/>
    </xf>
    <xf numFmtId="10" fontId="6" fillId="7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14" fillId="0" borderId="0" xfId="0" applyFont="1"/>
    <xf numFmtId="44" fontId="14" fillId="0" borderId="0" xfId="1" applyFont="1" applyAlignment="1">
      <alignment horizontal="center"/>
    </xf>
    <xf numFmtId="10" fontId="15" fillId="3" borderId="0" xfId="0" applyNumberFormat="1" applyFont="1" applyFill="1" applyAlignment="1">
      <alignment vertical="center"/>
    </xf>
    <xf numFmtId="10" fontId="15" fillId="7" borderId="0" xfId="0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0" fontId="15" fillId="6" borderId="0" xfId="0" applyNumberFormat="1" applyFont="1" applyFill="1" applyAlignment="1">
      <alignment vertical="center"/>
    </xf>
    <xf numFmtId="10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44" fontId="15" fillId="0" borderId="0" xfId="1" applyFont="1" applyAlignment="1">
      <alignment horizontal="center" vertical="center"/>
    </xf>
    <xf numFmtId="44" fontId="15" fillId="3" borderId="0" xfId="1" applyFont="1" applyFill="1" applyAlignment="1">
      <alignment horizontal="center"/>
    </xf>
    <xf numFmtId="44" fontId="6" fillId="3" borderId="0" xfId="0" applyNumberFormat="1" applyFont="1" applyFill="1" applyAlignment="1"/>
    <xf numFmtId="44" fontId="6" fillId="3" borderId="0" xfId="1" applyFont="1" applyFill="1" applyAlignment="1"/>
  </cellXfs>
  <cellStyles count="3">
    <cellStyle name="Moeda" xfId="1" builtinId="4"/>
    <cellStyle name="Normal" xfId="0" builtinId="0"/>
    <cellStyle name="Porcentagem" xfId="2" builtinId="5"/>
  </cellStyles>
  <dxfs count="121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Resultado por Mês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'25. BANCO DE DADOS'!$G$3</c:f>
              <c:strCache>
                <c:ptCount val="1"/>
                <c:pt idx="0">
                  <c:v> 25. Resultado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DADOS'!$F$4:$F$15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'25. BANCO DE DADOS'!$G$4:$G$15</c:f>
              <c:numCache>
                <c:formatCode>_("R$"* #,##0.00_);_("R$"* \(#,##0.00\);_("R$"* "-"??_);_(@_)</c:formatCode>
                <c:ptCount val="12"/>
                <c:pt idx="0">
                  <c:v>1609233.9299999995</c:v>
                </c:pt>
                <c:pt idx="1">
                  <c:v>1384804.5899999996</c:v>
                </c:pt>
                <c:pt idx="2">
                  <c:v>1665670.2399999986</c:v>
                </c:pt>
                <c:pt idx="3">
                  <c:v>1594586.1700000006</c:v>
                </c:pt>
                <c:pt idx="4">
                  <c:v>1929362.9299999995</c:v>
                </c:pt>
                <c:pt idx="5">
                  <c:v>270899.38</c:v>
                </c:pt>
                <c:pt idx="6">
                  <c:v>852090.49</c:v>
                </c:pt>
                <c:pt idx="7">
                  <c:v>1498606.3599999994</c:v>
                </c:pt>
                <c:pt idx="8">
                  <c:v>1377471.1499999994</c:v>
                </c:pt>
                <c:pt idx="9">
                  <c:v>1396971.08</c:v>
                </c:pt>
                <c:pt idx="10">
                  <c:v>1165276.9899999986</c:v>
                </c:pt>
                <c:pt idx="11">
                  <c:v>1287076.1100000001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5-45AD-8E1D-90B93CAD2C2A}"/>
            </c:ext>
          </c:extLst>
        </c:ser>
        <c:ser>
          <c:idx val="1"/>
          <c:order val="1"/>
          <c:tx>
            <c:strRef>
              <c:f>'25. BANCO DE DADOS'!$H$3</c:f>
              <c:strCache>
                <c:ptCount val="1"/>
                <c:pt idx="0">
                  <c:v>24. Resultado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DADOS'!$F$4:$F$15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'25. BANCO DE DADOS'!$H$4:$H$15</c:f>
              <c:numCache>
                <c:formatCode>"R$"\ #,##0.00</c:formatCode>
                <c:ptCount val="12"/>
                <c:pt idx="0">
                  <c:v>968723.97</c:v>
                </c:pt>
                <c:pt idx="1">
                  <c:v>939367.07</c:v>
                </c:pt>
                <c:pt idx="2">
                  <c:v>1172270.7600000002</c:v>
                </c:pt>
                <c:pt idx="3">
                  <c:v>962680.09</c:v>
                </c:pt>
                <c:pt idx="4">
                  <c:v>1209465.2500000002</c:v>
                </c:pt>
                <c:pt idx="5">
                  <c:v>1212174.2100000002</c:v>
                </c:pt>
                <c:pt idx="6">
                  <c:v>1244445.0199999998</c:v>
                </c:pt>
                <c:pt idx="7">
                  <c:v>1111155.4700000004</c:v>
                </c:pt>
                <c:pt idx="8">
                  <c:v>1167981.44</c:v>
                </c:pt>
                <c:pt idx="9">
                  <c:v>1388037.7799999993</c:v>
                </c:pt>
                <c:pt idx="10">
                  <c:v>1723812.7700000012</c:v>
                </c:pt>
                <c:pt idx="11">
                  <c:v>1487564.8700000006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5-45AD-8E1D-90B93CAD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07121344"/>
        <c:axId val="1507115584"/>
      </c:barChart>
      <c:lineChart>
        <c:grouping val="standard"/>
        <c:varyColors val="0"/>
        <c:ser>
          <c:idx val="2"/>
          <c:order val="2"/>
          <c:tx>
            <c:strRef>
              <c:f>'25. BANCO DE DADOS'!$I$3</c:f>
              <c:strCache>
                <c:ptCount val="1"/>
                <c:pt idx="0">
                  <c:v>↑↓%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'25. BANCO DE DADOS'!$F$4:$F$15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'25. BANCO DE DADOS'!$I$4:$I$15</c:f>
              <c:numCache>
                <c:formatCode>0.00%</c:formatCode>
                <c:ptCount val="12"/>
                <c:pt idx="0">
                  <c:v>1.6611893375571161</c:v>
                </c:pt>
                <c:pt idx="1">
                  <c:v>1.4741889876978547</c:v>
                </c:pt>
                <c:pt idx="2">
                  <c:v>1.4208920812799239</c:v>
                </c:pt>
                <c:pt idx="3">
                  <c:v>1.6564029801426563</c:v>
                </c:pt>
                <c:pt idx="4">
                  <c:v>1.5952198130537434</c:v>
                </c:pt>
                <c:pt idx="5">
                  <c:v>0.2234822171311498</c:v>
                </c:pt>
                <c:pt idx="6">
                  <c:v>0.68471525564062297</c:v>
                </c:pt>
                <c:pt idx="7">
                  <c:v>1.3486918801740668</c:v>
                </c:pt>
                <c:pt idx="8">
                  <c:v>1.1793604785363709</c:v>
                </c:pt>
                <c:pt idx="9">
                  <c:v>1.006435919921431</c:v>
                </c:pt>
                <c:pt idx="10">
                  <c:v>0.67598814110188876</c:v>
                </c:pt>
                <c:pt idx="11">
                  <c:v>0.8652235179498422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F5-45AD-8E1D-90B93CAD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084864"/>
        <c:axId val="1507082464"/>
      </c:lineChart>
      <c:catAx>
        <c:axId val="15071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15584"/>
        <c:crosses val="autoZero"/>
        <c:auto val="1"/>
        <c:lblAlgn val="ctr"/>
        <c:lblOffset val="100"/>
        <c:noMultiLvlLbl val="0"/>
      </c:catAx>
      <c:valAx>
        <c:axId val="150711558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21344"/>
        <c:crosses val="autoZero"/>
        <c:crossBetween val="between"/>
      </c:valAx>
      <c:valAx>
        <c:axId val="15070824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084864"/>
        <c:crosses val="max"/>
        <c:crossBetween val="between"/>
      </c:valAx>
      <c:catAx>
        <c:axId val="150708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082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Faturamento Trimestral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DADOS'!$L$12:$L$15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'25. BANCO DE DADOS'!$N$12:$N$15</c:f>
              <c:numCache>
                <c:formatCode>_("R$"* #,##0.00_);_("R$"* \(#,##0.00\);_("R$"* "-"??_);_(@_)</c:formatCode>
                <c:ptCount val="4"/>
                <c:pt idx="0">
                  <c:v>3080361.8000000003</c:v>
                </c:pt>
                <c:pt idx="1">
                  <c:v>3384319.5500000007</c:v>
                </c:pt>
                <c:pt idx="2">
                  <c:v>3523581.93</c:v>
                </c:pt>
                <c:pt idx="3">
                  <c:v>4599415.4200000018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2-48C4-A5EE-475977185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507092064"/>
        <c:axId val="1507092544"/>
      </c:barChart>
      <c:barChart>
        <c:barDir val="col"/>
        <c:grouping val="stack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DADOS'!$L$12:$L$15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'25. BANCO DE DADOS'!$M$12:$M$15</c:f>
              <c:numCache>
                <c:formatCode>_("R$"* #,##0.00_);_("R$"* \(#,##0.00\);_("R$"* "-"??_);_(@_)</c:formatCode>
                <c:ptCount val="4"/>
                <c:pt idx="0">
                  <c:v>4659708.7599999979</c:v>
                </c:pt>
                <c:pt idx="1">
                  <c:v>3794848.48</c:v>
                </c:pt>
                <c:pt idx="2">
                  <c:v>3728167.9999999991</c:v>
                </c:pt>
                <c:pt idx="3">
                  <c:v>3849324.1799999988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2-48C4-A5EE-475977185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51624432"/>
        <c:axId val="1651747312"/>
      </c:barChart>
      <c:catAx>
        <c:axId val="15070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092544"/>
        <c:crosses val="autoZero"/>
        <c:auto val="1"/>
        <c:lblAlgn val="ctr"/>
        <c:lblOffset val="100"/>
        <c:noMultiLvlLbl val="0"/>
      </c:catAx>
      <c:valAx>
        <c:axId val="150709254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07092064"/>
        <c:crosses val="autoZero"/>
        <c:crossBetween val="between"/>
      </c:valAx>
      <c:valAx>
        <c:axId val="165174731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1624432"/>
        <c:crosses val="max"/>
        <c:crossBetween val="between"/>
      </c:valAx>
      <c:catAx>
        <c:axId val="165162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74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Crescimento % Trimestre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DADOS'!$L$12:$L$15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'25. BANCO DE DADOS'!$O$12:$O$15</c:f>
              <c:numCache>
                <c:formatCode>0.00%</c:formatCode>
                <c:ptCount val="4"/>
                <c:pt idx="0">
                  <c:v>1.5127147596753074</c:v>
                </c:pt>
                <c:pt idx="1">
                  <c:v>1.1213032410015771</c:v>
                </c:pt>
                <c:pt idx="2">
                  <c:v>1.0580619591269158</c:v>
                </c:pt>
                <c:pt idx="3">
                  <c:v>0.83691596181151151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3-4931-97C5-BB5486F8E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Faturamento Quadrimestral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DADOS'!$L$4:$L$7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'25. BANCO DE DADOS'!$N$4:$N$7</c:f>
              <c:numCache>
                <c:formatCode>_("R$"* #,##0.00_);_("R$"* \(#,##0.00\);_("R$"* "-"??_);_(@_)</c:formatCode>
                <c:ptCount val="4"/>
                <c:pt idx="0">
                  <c:v>4043041.89</c:v>
                </c:pt>
                <c:pt idx="1">
                  <c:v>4777239.9500000011</c:v>
                </c:pt>
                <c:pt idx="2">
                  <c:v>5767396.8600000013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2-4A9A-B39C-C28CEE6EA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507092064"/>
        <c:axId val="1507092544"/>
      </c:barChart>
      <c:barChart>
        <c:barDir val="col"/>
        <c:grouping val="stack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DADOS'!$L$4:$L$7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'25. BANCO DE DADOS'!$M$4:$M$7</c:f>
              <c:numCache>
                <c:formatCode>_("R$"* #,##0.00_);_("R$"* \(#,##0.00\);_("R$"* "-"??_);_(@_)</c:formatCode>
                <c:ptCount val="4"/>
                <c:pt idx="0">
                  <c:v>6254294.9299999988</c:v>
                </c:pt>
                <c:pt idx="1">
                  <c:v>4550959.1599999992</c:v>
                </c:pt>
                <c:pt idx="2">
                  <c:v>5226795.3299999982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2-4A9A-B39C-C28CEE6EA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51624432"/>
        <c:axId val="1651747312"/>
      </c:barChart>
      <c:catAx>
        <c:axId val="15070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092544"/>
        <c:crosses val="autoZero"/>
        <c:auto val="1"/>
        <c:lblAlgn val="ctr"/>
        <c:lblOffset val="100"/>
        <c:noMultiLvlLbl val="0"/>
      </c:catAx>
      <c:valAx>
        <c:axId val="150709254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07092064"/>
        <c:crosses val="autoZero"/>
        <c:crossBetween val="between"/>
      </c:valAx>
      <c:valAx>
        <c:axId val="165174731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1624432"/>
        <c:crosses val="max"/>
        <c:crossBetween val="between"/>
      </c:valAx>
      <c:catAx>
        <c:axId val="165162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74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Crescimento % Quadrimestre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DADOS'!$L$4:$L$7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'25. BANCO DE DADOS'!$O$4:$O$7</c:f>
              <c:numCache>
                <c:formatCode>0.00%</c:formatCode>
                <c:ptCount val="4"/>
                <c:pt idx="0">
                  <c:v>1.5469280556971916</c:v>
                </c:pt>
                <c:pt idx="1">
                  <c:v>0.95263357244594715</c:v>
                </c:pt>
                <c:pt idx="2">
                  <c:v>0.90626593884160023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9-4901-B9CF-4961548D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Top 10 Clientes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'25. BANCO DE DADOS'!$H$3</c:f>
              <c:strCache>
                <c:ptCount val="1"/>
                <c:pt idx="0">
                  <c:v>24. Resultado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DADOS'!$F$22:$F$31</c:f>
              <c:strCache>
                <c:ptCount val="10"/>
                <c:pt idx="0">
                  <c:v>TEUTO</c:v>
                </c:pt>
                <c:pt idx="1">
                  <c:v>BIOSINTETICA </c:v>
                </c:pt>
                <c:pt idx="2">
                  <c:v>GEOLAB</c:v>
                </c:pt>
                <c:pt idx="3">
                  <c:v>EMS MARCAS</c:v>
                </c:pt>
                <c:pt idx="4">
                  <c:v>FORTLIFE</c:v>
                </c:pt>
                <c:pt idx="5">
                  <c:v>PRUDENCE</c:v>
                </c:pt>
                <c:pt idx="6">
                  <c:v>HIDROLIGHT</c:v>
                </c:pt>
                <c:pt idx="7">
                  <c:v>PRINCIPIA</c:v>
                </c:pt>
                <c:pt idx="8">
                  <c:v>NATULAB</c:v>
                </c:pt>
                <c:pt idx="9">
                  <c:v>MAXINUTRI</c:v>
                </c:pt>
              </c:strCache>
            </c:strRef>
          </c:cat>
          <c:val>
            <c:numRef>
              <c:f>'25. BANCO DE DADOS'!$H$22:$H$31</c:f>
              <c:numCache>
                <c:formatCode>_("R$"* #,##0.00_);_("R$"* \(#,##0.00\);_("R$"* "-"??_);_(@_)</c:formatCode>
                <c:ptCount val="10"/>
                <c:pt idx="0">
                  <c:v>2242986.3199999998</c:v>
                </c:pt>
                <c:pt idx="1">
                  <c:v>1890453.55</c:v>
                </c:pt>
                <c:pt idx="2">
                  <c:v>1569490.06</c:v>
                </c:pt>
                <c:pt idx="3">
                  <c:v>994873.55</c:v>
                </c:pt>
                <c:pt idx="4">
                  <c:v>961945.43</c:v>
                </c:pt>
                <c:pt idx="5">
                  <c:v>661745.48</c:v>
                </c:pt>
                <c:pt idx="6">
                  <c:v>542161.1</c:v>
                </c:pt>
                <c:pt idx="7">
                  <c:v>513811.94</c:v>
                </c:pt>
                <c:pt idx="8">
                  <c:v>490458.54</c:v>
                </c:pt>
                <c:pt idx="9">
                  <c:v>409504.38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7-4740-B47A-DD1AFDB4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07121344"/>
        <c:axId val="1507115584"/>
      </c:barChart>
      <c:barChart>
        <c:barDir val="col"/>
        <c:grouping val="clustered"/>
        <c:varyColors val="0"/>
        <c:ser>
          <c:idx val="0"/>
          <c:order val="0"/>
          <c:tx>
            <c:strRef>
              <c:f>'25. BANCO DE DADOS'!$G$3</c:f>
              <c:strCache>
                <c:ptCount val="1"/>
                <c:pt idx="0">
                  <c:v> 25. Resultado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DADOS'!$F$22:$F$31</c:f>
              <c:strCache>
                <c:ptCount val="10"/>
                <c:pt idx="0">
                  <c:v>TEUTO</c:v>
                </c:pt>
                <c:pt idx="1">
                  <c:v>BIOSINTETICA </c:v>
                </c:pt>
                <c:pt idx="2">
                  <c:v>GEOLAB</c:v>
                </c:pt>
                <c:pt idx="3">
                  <c:v>EMS MARCAS</c:v>
                </c:pt>
                <c:pt idx="4">
                  <c:v>FORTLIFE</c:v>
                </c:pt>
                <c:pt idx="5">
                  <c:v>PRUDENCE</c:v>
                </c:pt>
                <c:pt idx="6">
                  <c:v>HIDROLIGHT</c:v>
                </c:pt>
                <c:pt idx="7">
                  <c:v>PRINCIPIA</c:v>
                </c:pt>
                <c:pt idx="8">
                  <c:v>NATULAB</c:v>
                </c:pt>
                <c:pt idx="9">
                  <c:v>MAXINUTRI</c:v>
                </c:pt>
              </c:strCache>
            </c:strRef>
          </c:cat>
          <c:val>
            <c:numRef>
              <c:f>'25. BANCO DE DADOS'!$G$22:$G$31</c:f>
              <c:numCache>
                <c:formatCode>_("R$"* #,##0.00_);_("R$"* \(#,##0.00\);_("R$"* "-"??_);_(@_)</c:formatCode>
                <c:ptCount val="10"/>
                <c:pt idx="0">
                  <c:v>2207826.35</c:v>
                </c:pt>
                <c:pt idx="1">
                  <c:v>1610592.55</c:v>
                </c:pt>
                <c:pt idx="2">
                  <c:v>1482113.69</c:v>
                </c:pt>
                <c:pt idx="3">
                  <c:v>1359487.06</c:v>
                </c:pt>
                <c:pt idx="4">
                  <c:v>966514.31</c:v>
                </c:pt>
                <c:pt idx="5">
                  <c:v>945728.26</c:v>
                </c:pt>
                <c:pt idx="6">
                  <c:v>927288.18</c:v>
                </c:pt>
                <c:pt idx="7">
                  <c:v>433688.25</c:v>
                </c:pt>
                <c:pt idx="8">
                  <c:v>394497.77</c:v>
                </c:pt>
                <c:pt idx="9">
                  <c:v>387173.28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7-4740-B47A-DD1AFDB4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1629232"/>
        <c:axId val="1651630192"/>
      </c:barChart>
      <c:catAx>
        <c:axId val="15071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15584"/>
        <c:crosses val="autoZero"/>
        <c:auto val="1"/>
        <c:lblAlgn val="ctr"/>
        <c:lblOffset val="100"/>
        <c:noMultiLvlLbl val="0"/>
      </c:catAx>
      <c:valAx>
        <c:axId val="15071155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507121344"/>
        <c:crosses val="autoZero"/>
        <c:crossBetween val="between"/>
      </c:valAx>
      <c:valAx>
        <c:axId val="165163019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1629232"/>
        <c:crosses val="max"/>
        <c:crossBetween val="between"/>
      </c:valAx>
      <c:catAx>
        <c:axId val="165162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63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Comparativo % Top 10 Clientes</a:t>
            </a:r>
            <a:r>
              <a:rPr lang="pt-BR" baseline="0"/>
              <a:t>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CA1-4D85-9EE3-7097E146491D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1-4D85-9EE3-7097E14649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DADOS'!$F$22:$F$31</c:f>
              <c:strCache>
                <c:ptCount val="10"/>
                <c:pt idx="0">
                  <c:v>TEUTO</c:v>
                </c:pt>
                <c:pt idx="1">
                  <c:v>BIOSINTETICA </c:v>
                </c:pt>
                <c:pt idx="2">
                  <c:v>GEOLAB</c:v>
                </c:pt>
                <c:pt idx="3">
                  <c:v>EMS MARCAS</c:v>
                </c:pt>
                <c:pt idx="4">
                  <c:v>FORTLIFE</c:v>
                </c:pt>
                <c:pt idx="5">
                  <c:v>PRUDENCE</c:v>
                </c:pt>
                <c:pt idx="6">
                  <c:v>HIDROLIGHT</c:v>
                </c:pt>
                <c:pt idx="7">
                  <c:v>PRINCIPIA</c:v>
                </c:pt>
                <c:pt idx="8">
                  <c:v>NATULAB</c:v>
                </c:pt>
                <c:pt idx="9">
                  <c:v>MAXINUTRI</c:v>
                </c:pt>
              </c:strCache>
            </c:strRef>
          </c:cat>
          <c:val>
            <c:numRef>
              <c:f>'25. BANCO DE DADOS'!$I$22:$I$31</c:f>
              <c:numCache>
                <c:formatCode>0.00%</c:formatCode>
                <c:ptCount val="10"/>
                <c:pt idx="0">
                  <c:v>0.98432448308467624</c:v>
                </c:pt>
                <c:pt idx="1">
                  <c:v>0.85196092228767006</c:v>
                </c:pt>
                <c:pt idx="2">
                  <c:v>0.94432817879713105</c:v>
                </c:pt>
                <c:pt idx="3">
                  <c:v>1.3664923145258008</c:v>
                </c:pt>
                <c:pt idx="4">
                  <c:v>1.0047496249345453</c:v>
                </c:pt>
                <c:pt idx="5">
                  <c:v>1.4291420018463896</c:v>
                </c:pt>
                <c:pt idx="6">
                  <c:v>1.7103554275657182</c:v>
                </c:pt>
                <c:pt idx="7">
                  <c:v>0.84406028010948908</c:v>
                </c:pt>
                <c:pt idx="8">
                  <c:v>0.80434478722707126</c:v>
                </c:pt>
                <c:pt idx="9">
                  <c:v>0.9454679825402601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F-4A4D-8B7F-BA8CF4BC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Top 10 Clientes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'25. BANCO DE DADOS'!$N$3</c:f>
              <c:strCache>
                <c:ptCount val="1"/>
                <c:pt idx="0">
                  <c:v>24. Resultado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DADOS'!$L$22:$L$31</c:f>
              <c:strCache>
                <c:ptCount val="10"/>
                <c:pt idx="0">
                  <c:v>EMS MARCAS</c:v>
                </c:pt>
                <c:pt idx="1">
                  <c:v>TEUTO</c:v>
                </c:pt>
                <c:pt idx="2">
                  <c:v>GEOLAB</c:v>
                </c:pt>
                <c:pt idx="3">
                  <c:v>FORTLIFE</c:v>
                </c:pt>
                <c:pt idx="4">
                  <c:v>BIOSINTETICA (ACHE)</c:v>
                </c:pt>
                <c:pt idx="5">
                  <c:v>NUTRIEX INDUSTRIA DE COSMETICOS</c:v>
                </c:pt>
                <c:pt idx="6">
                  <c:v>PRUDENCE</c:v>
                </c:pt>
                <c:pt idx="7">
                  <c:v>PRINCIPIA</c:v>
                </c:pt>
                <c:pt idx="8">
                  <c:v>HIDROLIGHT</c:v>
                </c:pt>
                <c:pt idx="9">
                  <c:v>NUK</c:v>
                </c:pt>
              </c:strCache>
            </c:strRef>
          </c:cat>
          <c:val>
            <c:numRef>
              <c:f>'25. BANCO DE DADOS'!$N$22:$N$31</c:f>
              <c:numCache>
                <c:formatCode>"R$"\ #,##0.00</c:formatCode>
                <c:ptCount val="10"/>
                <c:pt idx="0">
                  <c:v>264992.46000000002</c:v>
                </c:pt>
                <c:pt idx="1">
                  <c:v>178015.29</c:v>
                </c:pt>
                <c:pt idx="2">
                  <c:v>62739.65</c:v>
                </c:pt>
                <c:pt idx="3">
                  <c:v>0</c:v>
                </c:pt>
                <c:pt idx="4">
                  <c:v>33300.42</c:v>
                </c:pt>
                <c:pt idx="5">
                  <c:v>15386.97</c:v>
                </c:pt>
                <c:pt idx="6">
                  <c:v>0</c:v>
                </c:pt>
                <c:pt idx="7">
                  <c:v>90850.6</c:v>
                </c:pt>
                <c:pt idx="8">
                  <c:v>105525.19</c:v>
                </c:pt>
                <c:pt idx="9">
                  <c:v>78203.14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5-434E-B475-EEE8CAD31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07121344"/>
        <c:axId val="1507115584"/>
      </c:barChart>
      <c:barChart>
        <c:barDir val="col"/>
        <c:grouping val="clustered"/>
        <c:varyColors val="0"/>
        <c:ser>
          <c:idx val="0"/>
          <c:order val="0"/>
          <c:tx>
            <c:strRef>
              <c:f>'25. BANCO DE DADOS'!$M$3</c:f>
              <c:strCache>
                <c:ptCount val="1"/>
                <c:pt idx="0">
                  <c:v>25. Resultado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DADOS'!$L$22:$L$31</c:f>
              <c:strCache>
                <c:ptCount val="10"/>
                <c:pt idx="0">
                  <c:v>EMS MARCAS</c:v>
                </c:pt>
                <c:pt idx="1">
                  <c:v>TEUTO</c:v>
                </c:pt>
                <c:pt idx="2">
                  <c:v>GEOLAB</c:v>
                </c:pt>
                <c:pt idx="3">
                  <c:v>FORTLIFE</c:v>
                </c:pt>
                <c:pt idx="4">
                  <c:v>BIOSINTETICA (ACHE)</c:v>
                </c:pt>
                <c:pt idx="5">
                  <c:v>NUTRIEX INDUSTRIA DE COSMETICOS</c:v>
                </c:pt>
                <c:pt idx="6">
                  <c:v>PRUDENCE</c:v>
                </c:pt>
                <c:pt idx="7">
                  <c:v>PRINCIPIA</c:v>
                </c:pt>
                <c:pt idx="8">
                  <c:v>HIDROLIGHT</c:v>
                </c:pt>
                <c:pt idx="9">
                  <c:v>NUK</c:v>
                </c:pt>
              </c:strCache>
            </c:strRef>
          </c:cat>
          <c:val>
            <c:numRef>
              <c:f>'25. BANCO DE DADOS'!$M$22:$M$31</c:f>
              <c:numCache>
                <c:formatCode>"R$"\ #,##0.00</c:formatCode>
                <c:ptCount val="10"/>
                <c:pt idx="0">
                  <c:v>238283.02</c:v>
                </c:pt>
                <c:pt idx="1">
                  <c:v>228386.47</c:v>
                </c:pt>
                <c:pt idx="2">
                  <c:v>194132.43</c:v>
                </c:pt>
                <c:pt idx="3">
                  <c:v>117865.18</c:v>
                </c:pt>
                <c:pt idx="4">
                  <c:v>83508.83</c:v>
                </c:pt>
                <c:pt idx="5">
                  <c:v>78899.45</c:v>
                </c:pt>
                <c:pt idx="6">
                  <c:v>68680.41</c:v>
                </c:pt>
                <c:pt idx="7">
                  <c:v>51024.92</c:v>
                </c:pt>
                <c:pt idx="8">
                  <c:v>49910.54</c:v>
                </c:pt>
                <c:pt idx="9">
                  <c:v>45398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5-434E-B475-EEE8CAD31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1629232"/>
        <c:axId val="1651630192"/>
      </c:barChart>
      <c:catAx>
        <c:axId val="15071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15584"/>
        <c:crosses val="autoZero"/>
        <c:auto val="1"/>
        <c:lblAlgn val="ctr"/>
        <c:lblOffset val="100"/>
        <c:noMultiLvlLbl val="0"/>
      </c:catAx>
      <c:valAx>
        <c:axId val="1507115584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507121344"/>
        <c:crosses val="autoZero"/>
        <c:crossBetween val="between"/>
      </c:valAx>
      <c:valAx>
        <c:axId val="1651630192"/>
        <c:scaling>
          <c:orientation val="minMax"/>
        </c:scaling>
        <c:delete val="1"/>
        <c:axPos val="r"/>
        <c:numFmt formatCode="&quot;R$&quot;\ #,##0.00" sourceLinked="1"/>
        <c:majorTickMark val="out"/>
        <c:minorTickMark val="none"/>
        <c:tickLblPos val="nextTo"/>
        <c:crossAx val="1651629232"/>
        <c:crosses val="max"/>
        <c:crossBetween val="between"/>
      </c:valAx>
      <c:catAx>
        <c:axId val="165162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63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Comparativo % Top 10 Clientes</a:t>
            </a:r>
            <a:r>
              <a:rPr lang="pt-BR" baseline="0"/>
              <a:t>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E9-41EB-891F-86E7AAD178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DADOS'!$L$22:$L$31</c:f>
              <c:strCache>
                <c:ptCount val="10"/>
                <c:pt idx="0">
                  <c:v>EMS MARCAS</c:v>
                </c:pt>
                <c:pt idx="1">
                  <c:v>TEUTO</c:v>
                </c:pt>
                <c:pt idx="2">
                  <c:v>GEOLAB</c:v>
                </c:pt>
                <c:pt idx="3">
                  <c:v>FORTLIFE</c:v>
                </c:pt>
                <c:pt idx="4">
                  <c:v>BIOSINTETICA (ACHE)</c:v>
                </c:pt>
                <c:pt idx="5">
                  <c:v>NUTRIEX INDUSTRIA DE COSMETICOS</c:v>
                </c:pt>
                <c:pt idx="6">
                  <c:v>PRUDENCE</c:v>
                </c:pt>
                <c:pt idx="7">
                  <c:v>PRINCIPIA</c:v>
                </c:pt>
                <c:pt idx="8">
                  <c:v>HIDROLIGHT</c:v>
                </c:pt>
                <c:pt idx="9">
                  <c:v>NUK</c:v>
                </c:pt>
              </c:strCache>
            </c:strRef>
          </c:cat>
          <c:val>
            <c:numRef>
              <c:f>'25. BANCO DE DADOS'!$O$22:$O$31</c:f>
              <c:numCache>
                <c:formatCode>0.00%</c:formatCode>
                <c:ptCount val="10"/>
                <c:pt idx="0">
                  <c:v>0.89920679252534197</c:v>
                </c:pt>
                <c:pt idx="1">
                  <c:v>1.2829598513700704</c:v>
                </c:pt>
                <c:pt idx="2">
                  <c:v>3.0942542714216605</c:v>
                </c:pt>
                <c:pt idx="3">
                  <c:v>0</c:v>
                </c:pt>
                <c:pt idx="4">
                  <c:v>2.5077410435063583</c:v>
                </c:pt>
                <c:pt idx="5">
                  <c:v>5.1276794586588519</c:v>
                </c:pt>
                <c:pt idx="6">
                  <c:v>0</c:v>
                </c:pt>
                <c:pt idx="7">
                  <c:v>0.56163547626542909</c:v>
                </c:pt>
                <c:pt idx="8">
                  <c:v>0.47297275655225068</c:v>
                </c:pt>
                <c:pt idx="9">
                  <c:v>0.58051377476658861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0-469E-A042-16C97D8EA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Resultado por Mês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'25. BANCO DE DADOS'!$G$3</c:f>
              <c:strCache>
                <c:ptCount val="1"/>
                <c:pt idx="0">
                  <c:v> 25. Resultado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DADOS'!$F$4:$F$15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'25. BANCO DE DADOS'!$G$4:$G$15</c:f>
              <c:numCache>
                <c:formatCode>_("R$"* #,##0.00_);_("R$"* \(#,##0.00\);_("R$"* "-"??_);_(@_)</c:formatCode>
                <c:ptCount val="12"/>
                <c:pt idx="0">
                  <c:v>1609233.9299999995</c:v>
                </c:pt>
                <c:pt idx="1">
                  <c:v>1384804.5899999996</c:v>
                </c:pt>
                <c:pt idx="2">
                  <c:v>1665670.2399999986</c:v>
                </c:pt>
                <c:pt idx="3">
                  <c:v>1594586.1700000006</c:v>
                </c:pt>
                <c:pt idx="4">
                  <c:v>1929362.9299999995</c:v>
                </c:pt>
                <c:pt idx="5">
                  <c:v>270899.38</c:v>
                </c:pt>
                <c:pt idx="6">
                  <c:v>852090.49</c:v>
                </c:pt>
                <c:pt idx="7">
                  <c:v>1498606.3599999994</c:v>
                </c:pt>
                <c:pt idx="8">
                  <c:v>1377471.1499999994</c:v>
                </c:pt>
                <c:pt idx="9">
                  <c:v>1396971.08</c:v>
                </c:pt>
                <c:pt idx="10">
                  <c:v>1165276.9899999986</c:v>
                </c:pt>
                <c:pt idx="11">
                  <c:v>1287076.1100000001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0-4752-A31A-FB00D44EB2F5}"/>
            </c:ext>
          </c:extLst>
        </c:ser>
        <c:ser>
          <c:idx val="1"/>
          <c:order val="1"/>
          <c:tx>
            <c:strRef>
              <c:f>'25. BANCO DE DADOS'!$H$3</c:f>
              <c:strCache>
                <c:ptCount val="1"/>
                <c:pt idx="0">
                  <c:v>24. Resultado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DADOS'!$F$4:$F$15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'25. BANCO DE DADOS'!$H$4:$H$15</c:f>
              <c:numCache>
                <c:formatCode>"R$"\ #,##0.00</c:formatCode>
                <c:ptCount val="12"/>
                <c:pt idx="0">
                  <c:v>968723.97</c:v>
                </c:pt>
                <c:pt idx="1">
                  <c:v>939367.07</c:v>
                </c:pt>
                <c:pt idx="2">
                  <c:v>1172270.7600000002</c:v>
                </c:pt>
                <c:pt idx="3">
                  <c:v>962680.09</c:v>
                </c:pt>
                <c:pt idx="4">
                  <c:v>1209465.2500000002</c:v>
                </c:pt>
                <c:pt idx="5">
                  <c:v>1212174.2100000002</c:v>
                </c:pt>
                <c:pt idx="6">
                  <c:v>1244445.0199999998</c:v>
                </c:pt>
                <c:pt idx="7">
                  <c:v>1111155.4700000004</c:v>
                </c:pt>
                <c:pt idx="8">
                  <c:v>1167981.44</c:v>
                </c:pt>
                <c:pt idx="9">
                  <c:v>1388037.7799999993</c:v>
                </c:pt>
                <c:pt idx="10">
                  <c:v>1723812.7700000012</c:v>
                </c:pt>
                <c:pt idx="11">
                  <c:v>1487564.8700000006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0-4752-A31A-FB00D44EB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07121344"/>
        <c:axId val="1507115584"/>
      </c:barChart>
      <c:lineChart>
        <c:grouping val="standard"/>
        <c:varyColors val="0"/>
        <c:ser>
          <c:idx val="2"/>
          <c:order val="2"/>
          <c:tx>
            <c:strRef>
              <c:f>'25. BANCO DE DADOS'!$I$3</c:f>
              <c:strCache>
                <c:ptCount val="1"/>
                <c:pt idx="0">
                  <c:v>↑↓%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'25. BANCO DE DADOS'!$F$4:$F$15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'25. BANCO DE DADOS'!$I$4:$I$15</c:f>
              <c:numCache>
                <c:formatCode>0.00%</c:formatCode>
                <c:ptCount val="12"/>
                <c:pt idx="0">
                  <c:v>1.6611893375571161</c:v>
                </c:pt>
                <c:pt idx="1">
                  <c:v>1.4741889876978547</c:v>
                </c:pt>
                <c:pt idx="2">
                  <c:v>1.4208920812799239</c:v>
                </c:pt>
                <c:pt idx="3">
                  <c:v>1.6564029801426563</c:v>
                </c:pt>
                <c:pt idx="4">
                  <c:v>1.5952198130537434</c:v>
                </c:pt>
                <c:pt idx="5">
                  <c:v>0.2234822171311498</c:v>
                </c:pt>
                <c:pt idx="6">
                  <c:v>0.68471525564062297</c:v>
                </c:pt>
                <c:pt idx="7">
                  <c:v>1.3486918801740668</c:v>
                </c:pt>
                <c:pt idx="8">
                  <c:v>1.1793604785363709</c:v>
                </c:pt>
                <c:pt idx="9">
                  <c:v>1.006435919921431</c:v>
                </c:pt>
                <c:pt idx="10">
                  <c:v>0.67598814110188876</c:v>
                </c:pt>
                <c:pt idx="11">
                  <c:v>0.8652235179498422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D0-4752-A31A-FB00D44EB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084864"/>
        <c:axId val="1507082464"/>
      </c:lineChart>
      <c:catAx>
        <c:axId val="15071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15584"/>
        <c:crosses val="autoZero"/>
        <c:auto val="1"/>
        <c:lblAlgn val="ctr"/>
        <c:lblOffset val="100"/>
        <c:noMultiLvlLbl val="0"/>
      </c:catAx>
      <c:valAx>
        <c:axId val="150711558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21344"/>
        <c:crosses val="autoZero"/>
        <c:crossBetween val="between"/>
      </c:valAx>
      <c:valAx>
        <c:axId val="15070824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084864"/>
        <c:crosses val="max"/>
        <c:crossBetween val="between"/>
      </c:valAx>
      <c:catAx>
        <c:axId val="150708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082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Faturamento Trimestral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DADOS'!$L$12:$L$15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'25. BANCO DE DADOS'!$N$12:$N$15</c:f>
              <c:numCache>
                <c:formatCode>_("R$"* #,##0.00_);_("R$"* \(#,##0.00\);_("R$"* "-"??_);_(@_)</c:formatCode>
                <c:ptCount val="4"/>
                <c:pt idx="0">
                  <c:v>3080361.8000000003</c:v>
                </c:pt>
                <c:pt idx="1">
                  <c:v>3384319.5500000007</c:v>
                </c:pt>
                <c:pt idx="2">
                  <c:v>3523581.93</c:v>
                </c:pt>
                <c:pt idx="3">
                  <c:v>4599415.4200000018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C-4845-97DD-D0320E8F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507092064"/>
        <c:axId val="1507092544"/>
      </c:barChart>
      <c:barChart>
        <c:barDir val="col"/>
        <c:grouping val="stack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DADOS'!$L$12:$L$15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'25. BANCO DE DADOS'!$M$12:$M$15</c:f>
              <c:numCache>
                <c:formatCode>_("R$"* #,##0.00_);_("R$"* \(#,##0.00\);_("R$"* "-"??_);_(@_)</c:formatCode>
                <c:ptCount val="4"/>
                <c:pt idx="0">
                  <c:v>4659708.7599999979</c:v>
                </c:pt>
                <c:pt idx="1">
                  <c:v>3794848.48</c:v>
                </c:pt>
                <c:pt idx="2">
                  <c:v>3728167.9999999991</c:v>
                </c:pt>
                <c:pt idx="3">
                  <c:v>3849324.1799999988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C-4845-97DD-D0320E8F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51624432"/>
        <c:axId val="1651747312"/>
      </c:barChart>
      <c:catAx>
        <c:axId val="15070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092544"/>
        <c:crosses val="autoZero"/>
        <c:auto val="1"/>
        <c:lblAlgn val="ctr"/>
        <c:lblOffset val="100"/>
        <c:noMultiLvlLbl val="0"/>
      </c:catAx>
      <c:valAx>
        <c:axId val="150709254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07092064"/>
        <c:crosses val="autoZero"/>
        <c:crossBetween val="between"/>
      </c:valAx>
      <c:valAx>
        <c:axId val="165174731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1624432"/>
        <c:crosses val="max"/>
        <c:crossBetween val="between"/>
      </c:valAx>
      <c:catAx>
        <c:axId val="165162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74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Crescimento % Trimestre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DADOS'!$L$12:$L$15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'25. BANCO DE DADOS'!$O$12:$O$15</c:f>
              <c:numCache>
                <c:formatCode>0.00%</c:formatCode>
                <c:ptCount val="4"/>
                <c:pt idx="0">
                  <c:v>1.5127147596753074</c:v>
                </c:pt>
                <c:pt idx="1">
                  <c:v>1.1213032410015771</c:v>
                </c:pt>
                <c:pt idx="2">
                  <c:v>1.0580619591269158</c:v>
                </c:pt>
                <c:pt idx="3">
                  <c:v>0.83691596181151151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A-4D2F-ADB3-B043A6B6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Faturamento Quadrimestral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DADOS'!$L$4:$L$7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'25. BANCO DE DADOS'!$N$4:$N$7</c:f>
              <c:numCache>
                <c:formatCode>_("R$"* #,##0.00_);_("R$"* \(#,##0.00\);_("R$"* "-"??_);_(@_)</c:formatCode>
                <c:ptCount val="4"/>
                <c:pt idx="0">
                  <c:v>4043041.89</c:v>
                </c:pt>
                <c:pt idx="1">
                  <c:v>4777239.9500000011</c:v>
                </c:pt>
                <c:pt idx="2">
                  <c:v>5767396.8600000013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2-46CA-9A08-A9FF4C7F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507092064"/>
        <c:axId val="1507092544"/>
      </c:barChart>
      <c:barChart>
        <c:barDir val="col"/>
        <c:grouping val="stack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DADOS'!$L$4:$L$7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'25. BANCO DE DADOS'!$M$4:$M$7</c:f>
              <c:numCache>
                <c:formatCode>_("R$"* #,##0.00_);_("R$"* \(#,##0.00\);_("R$"* "-"??_);_(@_)</c:formatCode>
                <c:ptCount val="4"/>
                <c:pt idx="0">
                  <c:v>6254294.9299999988</c:v>
                </c:pt>
                <c:pt idx="1">
                  <c:v>4550959.1599999992</c:v>
                </c:pt>
                <c:pt idx="2">
                  <c:v>5226795.3299999982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2-46CA-9A08-A9FF4C7F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51624432"/>
        <c:axId val="1651747312"/>
      </c:barChart>
      <c:catAx>
        <c:axId val="15070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092544"/>
        <c:crosses val="autoZero"/>
        <c:auto val="1"/>
        <c:lblAlgn val="ctr"/>
        <c:lblOffset val="100"/>
        <c:noMultiLvlLbl val="0"/>
      </c:catAx>
      <c:valAx>
        <c:axId val="150709254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07092064"/>
        <c:crosses val="autoZero"/>
        <c:crossBetween val="between"/>
      </c:valAx>
      <c:valAx>
        <c:axId val="165174731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1624432"/>
        <c:crosses val="max"/>
        <c:crossBetween val="between"/>
      </c:valAx>
      <c:catAx>
        <c:axId val="165162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74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Crescimento % Quadrimestre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DADOS'!$L$4:$L$7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'25. BANCO DE DADOS'!$O$4:$O$7</c:f>
              <c:numCache>
                <c:formatCode>0.00%</c:formatCode>
                <c:ptCount val="4"/>
                <c:pt idx="0">
                  <c:v>1.5469280556971916</c:v>
                </c:pt>
                <c:pt idx="1">
                  <c:v>0.95263357244594715</c:v>
                </c:pt>
                <c:pt idx="2">
                  <c:v>0.90626593884160023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3-463D-98B5-9A33E2395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Top 10 Clientes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'25. BANCO DE DADOS'!$H$3</c:f>
              <c:strCache>
                <c:ptCount val="1"/>
                <c:pt idx="0">
                  <c:v>24. Resultado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DADOS'!$F$22:$F$31</c:f>
              <c:strCache>
                <c:ptCount val="10"/>
                <c:pt idx="0">
                  <c:v>TEUTO</c:v>
                </c:pt>
                <c:pt idx="1">
                  <c:v>BIOSINTETICA </c:v>
                </c:pt>
                <c:pt idx="2">
                  <c:v>GEOLAB</c:v>
                </c:pt>
                <c:pt idx="3">
                  <c:v>EMS MARCAS</c:v>
                </c:pt>
                <c:pt idx="4">
                  <c:v>FORTLIFE</c:v>
                </c:pt>
                <c:pt idx="5">
                  <c:v>PRUDENCE</c:v>
                </c:pt>
                <c:pt idx="6">
                  <c:v>HIDROLIGHT</c:v>
                </c:pt>
                <c:pt idx="7">
                  <c:v>PRINCIPIA</c:v>
                </c:pt>
                <c:pt idx="8">
                  <c:v>NATULAB</c:v>
                </c:pt>
                <c:pt idx="9">
                  <c:v>MAXINUTRI</c:v>
                </c:pt>
              </c:strCache>
            </c:strRef>
          </c:cat>
          <c:val>
            <c:numRef>
              <c:f>'25. BANCO DE DADOS'!$H$22:$H$31</c:f>
              <c:numCache>
                <c:formatCode>_("R$"* #,##0.00_);_("R$"* \(#,##0.00\);_("R$"* "-"??_);_(@_)</c:formatCode>
                <c:ptCount val="10"/>
                <c:pt idx="0">
                  <c:v>2242986.3199999998</c:v>
                </c:pt>
                <c:pt idx="1">
                  <c:v>1890453.55</c:v>
                </c:pt>
                <c:pt idx="2">
                  <c:v>1569490.06</c:v>
                </c:pt>
                <c:pt idx="3">
                  <c:v>994873.55</c:v>
                </c:pt>
                <c:pt idx="4">
                  <c:v>961945.43</c:v>
                </c:pt>
                <c:pt idx="5">
                  <c:v>661745.48</c:v>
                </c:pt>
                <c:pt idx="6">
                  <c:v>542161.1</c:v>
                </c:pt>
                <c:pt idx="7">
                  <c:v>513811.94</c:v>
                </c:pt>
                <c:pt idx="8">
                  <c:v>490458.54</c:v>
                </c:pt>
                <c:pt idx="9">
                  <c:v>409504.38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B-4DA7-A4B6-57D6E184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07121344"/>
        <c:axId val="1507115584"/>
      </c:barChart>
      <c:barChart>
        <c:barDir val="col"/>
        <c:grouping val="clustered"/>
        <c:varyColors val="0"/>
        <c:ser>
          <c:idx val="0"/>
          <c:order val="0"/>
          <c:tx>
            <c:strRef>
              <c:f>'25. BANCO DE DADOS'!$G$3</c:f>
              <c:strCache>
                <c:ptCount val="1"/>
                <c:pt idx="0">
                  <c:v> 25. Resultado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DADOS'!$F$22:$F$31</c:f>
              <c:strCache>
                <c:ptCount val="10"/>
                <c:pt idx="0">
                  <c:v>TEUTO</c:v>
                </c:pt>
                <c:pt idx="1">
                  <c:v>BIOSINTETICA </c:v>
                </c:pt>
                <c:pt idx="2">
                  <c:v>GEOLAB</c:v>
                </c:pt>
                <c:pt idx="3">
                  <c:v>EMS MARCAS</c:v>
                </c:pt>
                <c:pt idx="4">
                  <c:v>FORTLIFE</c:v>
                </c:pt>
                <c:pt idx="5">
                  <c:v>PRUDENCE</c:v>
                </c:pt>
                <c:pt idx="6">
                  <c:v>HIDROLIGHT</c:v>
                </c:pt>
                <c:pt idx="7">
                  <c:v>PRINCIPIA</c:v>
                </c:pt>
                <c:pt idx="8">
                  <c:v>NATULAB</c:v>
                </c:pt>
                <c:pt idx="9">
                  <c:v>MAXINUTRI</c:v>
                </c:pt>
              </c:strCache>
            </c:strRef>
          </c:cat>
          <c:val>
            <c:numRef>
              <c:f>'25. BANCO DE DADOS'!$G$22:$G$31</c:f>
              <c:numCache>
                <c:formatCode>_("R$"* #,##0.00_);_("R$"* \(#,##0.00\);_("R$"* "-"??_);_(@_)</c:formatCode>
                <c:ptCount val="10"/>
                <c:pt idx="0">
                  <c:v>2207826.35</c:v>
                </c:pt>
                <c:pt idx="1">
                  <c:v>1610592.55</c:v>
                </c:pt>
                <c:pt idx="2">
                  <c:v>1482113.69</c:v>
                </c:pt>
                <c:pt idx="3">
                  <c:v>1359487.06</c:v>
                </c:pt>
                <c:pt idx="4">
                  <c:v>966514.31</c:v>
                </c:pt>
                <c:pt idx="5">
                  <c:v>945728.26</c:v>
                </c:pt>
                <c:pt idx="6">
                  <c:v>927288.18</c:v>
                </c:pt>
                <c:pt idx="7">
                  <c:v>433688.25</c:v>
                </c:pt>
                <c:pt idx="8">
                  <c:v>394497.77</c:v>
                </c:pt>
                <c:pt idx="9">
                  <c:v>387173.28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B-4DA7-A4B6-57D6E184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1629232"/>
        <c:axId val="1651630192"/>
      </c:barChart>
      <c:catAx>
        <c:axId val="15071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15584"/>
        <c:crosses val="autoZero"/>
        <c:auto val="1"/>
        <c:lblAlgn val="ctr"/>
        <c:lblOffset val="100"/>
        <c:noMultiLvlLbl val="0"/>
      </c:catAx>
      <c:valAx>
        <c:axId val="15071155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507121344"/>
        <c:crosses val="autoZero"/>
        <c:crossBetween val="between"/>
      </c:valAx>
      <c:valAx>
        <c:axId val="165163019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51629232"/>
        <c:crosses val="max"/>
        <c:crossBetween val="between"/>
      </c:valAx>
      <c:catAx>
        <c:axId val="165162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63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Comparativo % Top 10 Clientes</a:t>
            </a:r>
            <a:r>
              <a:rPr lang="pt-BR" baseline="0"/>
              <a:t>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57-4838-81D6-E13B29704B06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57-4838-81D6-E13B29704B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DADOS'!$F$22:$F$31</c:f>
              <c:strCache>
                <c:ptCount val="10"/>
                <c:pt idx="0">
                  <c:v>TEUTO</c:v>
                </c:pt>
                <c:pt idx="1">
                  <c:v>BIOSINTETICA </c:v>
                </c:pt>
                <c:pt idx="2">
                  <c:v>GEOLAB</c:v>
                </c:pt>
                <c:pt idx="3">
                  <c:v>EMS MARCAS</c:v>
                </c:pt>
                <c:pt idx="4">
                  <c:v>FORTLIFE</c:v>
                </c:pt>
                <c:pt idx="5">
                  <c:v>PRUDENCE</c:v>
                </c:pt>
                <c:pt idx="6">
                  <c:v>HIDROLIGHT</c:v>
                </c:pt>
                <c:pt idx="7">
                  <c:v>PRINCIPIA</c:v>
                </c:pt>
                <c:pt idx="8">
                  <c:v>NATULAB</c:v>
                </c:pt>
                <c:pt idx="9">
                  <c:v>MAXINUTRI</c:v>
                </c:pt>
              </c:strCache>
            </c:strRef>
          </c:cat>
          <c:val>
            <c:numRef>
              <c:f>'25. BANCO DE DADOS'!$I$22:$I$31</c:f>
              <c:numCache>
                <c:formatCode>0.00%</c:formatCode>
                <c:ptCount val="10"/>
                <c:pt idx="0">
                  <c:v>0.98432448308467624</c:v>
                </c:pt>
                <c:pt idx="1">
                  <c:v>0.85196092228767006</c:v>
                </c:pt>
                <c:pt idx="2">
                  <c:v>0.94432817879713105</c:v>
                </c:pt>
                <c:pt idx="3">
                  <c:v>1.3664923145258008</c:v>
                </c:pt>
                <c:pt idx="4">
                  <c:v>1.0047496249345453</c:v>
                </c:pt>
                <c:pt idx="5">
                  <c:v>1.4291420018463896</c:v>
                </c:pt>
                <c:pt idx="6">
                  <c:v>1.7103554275657182</c:v>
                </c:pt>
                <c:pt idx="7">
                  <c:v>0.84406028010948908</c:v>
                </c:pt>
                <c:pt idx="8">
                  <c:v>0.80434478722707126</c:v>
                </c:pt>
                <c:pt idx="9">
                  <c:v>0.9454679825402601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57-4838-81D6-E13B29704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Top 10 Clientes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'25. BANCO DE DADOS'!$N$3</c:f>
              <c:strCache>
                <c:ptCount val="1"/>
                <c:pt idx="0">
                  <c:v>24. Resultado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'25. BANCO DE DADOS'!$L$22:$L$31</c:f>
              <c:strCache>
                <c:ptCount val="10"/>
                <c:pt idx="0">
                  <c:v>EMS MARCAS</c:v>
                </c:pt>
                <c:pt idx="1">
                  <c:v>TEUTO</c:v>
                </c:pt>
                <c:pt idx="2">
                  <c:v>GEOLAB</c:v>
                </c:pt>
                <c:pt idx="3">
                  <c:v>FORTLIFE</c:v>
                </c:pt>
                <c:pt idx="4">
                  <c:v>BIOSINTETICA (ACHE)</c:v>
                </c:pt>
                <c:pt idx="5">
                  <c:v>NUTRIEX INDUSTRIA DE COSMETICOS</c:v>
                </c:pt>
                <c:pt idx="6">
                  <c:v>PRUDENCE</c:v>
                </c:pt>
                <c:pt idx="7">
                  <c:v>PRINCIPIA</c:v>
                </c:pt>
                <c:pt idx="8">
                  <c:v>HIDROLIGHT</c:v>
                </c:pt>
                <c:pt idx="9">
                  <c:v>NUK</c:v>
                </c:pt>
              </c:strCache>
            </c:strRef>
          </c:cat>
          <c:val>
            <c:numRef>
              <c:f>'25. BANCO DE DADOS'!$N$22:$N$31</c:f>
              <c:numCache>
                <c:formatCode>"R$"\ #,##0.00</c:formatCode>
                <c:ptCount val="10"/>
                <c:pt idx="0">
                  <c:v>264992.46000000002</c:v>
                </c:pt>
                <c:pt idx="1">
                  <c:v>178015.29</c:v>
                </c:pt>
                <c:pt idx="2">
                  <c:v>62739.65</c:v>
                </c:pt>
                <c:pt idx="3">
                  <c:v>0</c:v>
                </c:pt>
                <c:pt idx="4">
                  <c:v>33300.42</c:v>
                </c:pt>
                <c:pt idx="5">
                  <c:v>15386.97</c:v>
                </c:pt>
                <c:pt idx="6">
                  <c:v>0</c:v>
                </c:pt>
                <c:pt idx="7">
                  <c:v>90850.6</c:v>
                </c:pt>
                <c:pt idx="8">
                  <c:v>105525.19</c:v>
                </c:pt>
                <c:pt idx="9">
                  <c:v>78203.14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0-4896-A5AD-8113B4305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07121344"/>
        <c:axId val="1507115584"/>
      </c:barChart>
      <c:barChart>
        <c:barDir val="col"/>
        <c:grouping val="clustered"/>
        <c:varyColors val="0"/>
        <c:ser>
          <c:idx val="0"/>
          <c:order val="0"/>
          <c:tx>
            <c:strRef>
              <c:f>'25. BANCO DE DADOS'!$M$3</c:f>
              <c:strCache>
                <c:ptCount val="1"/>
                <c:pt idx="0">
                  <c:v>25. Resultado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0" tIns="0" rIns="0" bIns="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DADOS'!$L$22:$L$31</c:f>
              <c:strCache>
                <c:ptCount val="10"/>
                <c:pt idx="0">
                  <c:v>EMS MARCAS</c:v>
                </c:pt>
                <c:pt idx="1">
                  <c:v>TEUTO</c:v>
                </c:pt>
                <c:pt idx="2">
                  <c:v>GEOLAB</c:v>
                </c:pt>
                <c:pt idx="3">
                  <c:v>FORTLIFE</c:v>
                </c:pt>
                <c:pt idx="4">
                  <c:v>BIOSINTETICA (ACHE)</c:v>
                </c:pt>
                <c:pt idx="5">
                  <c:v>NUTRIEX INDUSTRIA DE COSMETICOS</c:v>
                </c:pt>
                <c:pt idx="6">
                  <c:v>PRUDENCE</c:v>
                </c:pt>
                <c:pt idx="7">
                  <c:v>PRINCIPIA</c:v>
                </c:pt>
                <c:pt idx="8">
                  <c:v>HIDROLIGHT</c:v>
                </c:pt>
                <c:pt idx="9">
                  <c:v>NUK</c:v>
                </c:pt>
              </c:strCache>
            </c:strRef>
          </c:cat>
          <c:val>
            <c:numRef>
              <c:f>'25. BANCO DE DADOS'!$M$22:$M$31</c:f>
              <c:numCache>
                <c:formatCode>"R$"\ #,##0.00</c:formatCode>
                <c:ptCount val="10"/>
                <c:pt idx="0">
                  <c:v>238283.02</c:v>
                </c:pt>
                <c:pt idx="1">
                  <c:v>228386.47</c:v>
                </c:pt>
                <c:pt idx="2">
                  <c:v>194132.43</c:v>
                </c:pt>
                <c:pt idx="3">
                  <c:v>117865.18</c:v>
                </c:pt>
                <c:pt idx="4">
                  <c:v>83508.83</c:v>
                </c:pt>
                <c:pt idx="5">
                  <c:v>78899.45</c:v>
                </c:pt>
                <c:pt idx="6">
                  <c:v>68680.41</c:v>
                </c:pt>
                <c:pt idx="7">
                  <c:v>51024.92</c:v>
                </c:pt>
                <c:pt idx="8">
                  <c:v>49910.54</c:v>
                </c:pt>
                <c:pt idx="9">
                  <c:v>45398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0-4896-A5AD-8113B4305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1629232"/>
        <c:axId val="1651630192"/>
      </c:barChart>
      <c:catAx>
        <c:axId val="15071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507115584"/>
        <c:crosses val="autoZero"/>
        <c:auto val="1"/>
        <c:lblAlgn val="ctr"/>
        <c:lblOffset val="100"/>
        <c:noMultiLvlLbl val="0"/>
      </c:catAx>
      <c:valAx>
        <c:axId val="1507115584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507121344"/>
        <c:crosses val="autoZero"/>
        <c:crossBetween val="between"/>
      </c:valAx>
      <c:valAx>
        <c:axId val="1651630192"/>
        <c:scaling>
          <c:orientation val="minMax"/>
        </c:scaling>
        <c:delete val="1"/>
        <c:axPos val="r"/>
        <c:numFmt formatCode="&quot;R$&quot;\ #,##0.00" sourceLinked="1"/>
        <c:majorTickMark val="out"/>
        <c:minorTickMark val="none"/>
        <c:tickLblPos val="nextTo"/>
        <c:crossAx val="1651629232"/>
        <c:crosses val="max"/>
        <c:crossBetween val="between"/>
      </c:valAx>
      <c:catAx>
        <c:axId val="165162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63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r>
              <a:rPr lang="pt-BR"/>
              <a:t>Comparativo % Top 10 Clientes</a:t>
            </a:r>
            <a:r>
              <a:rPr lang="pt-BR" baseline="0"/>
              <a:t>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1-44A4-8CD3-9B8389A03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BANCO DE DADOS'!$L$22:$L$31</c:f>
              <c:strCache>
                <c:ptCount val="10"/>
                <c:pt idx="0">
                  <c:v>EMS MARCAS</c:v>
                </c:pt>
                <c:pt idx="1">
                  <c:v>TEUTO</c:v>
                </c:pt>
                <c:pt idx="2">
                  <c:v>GEOLAB</c:v>
                </c:pt>
                <c:pt idx="3">
                  <c:v>FORTLIFE</c:v>
                </c:pt>
                <c:pt idx="4">
                  <c:v>BIOSINTETICA (ACHE)</c:v>
                </c:pt>
                <c:pt idx="5">
                  <c:v>NUTRIEX INDUSTRIA DE COSMETICOS</c:v>
                </c:pt>
                <c:pt idx="6">
                  <c:v>PRUDENCE</c:v>
                </c:pt>
                <c:pt idx="7">
                  <c:v>PRINCIPIA</c:v>
                </c:pt>
                <c:pt idx="8">
                  <c:v>HIDROLIGHT</c:v>
                </c:pt>
                <c:pt idx="9">
                  <c:v>NUK</c:v>
                </c:pt>
              </c:strCache>
            </c:strRef>
          </c:cat>
          <c:val>
            <c:numRef>
              <c:f>'25. BANCO DE DADOS'!$O$22:$O$31</c:f>
              <c:numCache>
                <c:formatCode>0.00%</c:formatCode>
                <c:ptCount val="10"/>
                <c:pt idx="0">
                  <c:v>0.89920679252534197</c:v>
                </c:pt>
                <c:pt idx="1">
                  <c:v>1.2829598513700704</c:v>
                </c:pt>
                <c:pt idx="2">
                  <c:v>3.0942542714216605</c:v>
                </c:pt>
                <c:pt idx="3">
                  <c:v>0</c:v>
                </c:pt>
                <c:pt idx="4">
                  <c:v>2.5077410435063583</c:v>
                </c:pt>
                <c:pt idx="5">
                  <c:v>5.1276794586588519</c:v>
                </c:pt>
                <c:pt idx="6">
                  <c:v>0</c:v>
                </c:pt>
                <c:pt idx="7">
                  <c:v>0.56163547626542909</c:v>
                </c:pt>
                <c:pt idx="8">
                  <c:v>0.47297275655225068</c:v>
                </c:pt>
                <c:pt idx="9">
                  <c:v>0.58051377476658861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1-44A4-8CD3-9B8389A0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51698832"/>
        <c:axId val="1651685392"/>
      </c:barChart>
      <c:catAx>
        <c:axId val="1651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pt-BR"/>
          </a:p>
        </c:txPr>
        <c:crossAx val="1651685392"/>
        <c:crosses val="autoZero"/>
        <c:auto val="1"/>
        <c:lblAlgn val="ctr"/>
        <c:lblOffset val="100"/>
        <c:noMultiLvlLbl val="0"/>
      </c:catAx>
      <c:valAx>
        <c:axId val="1651685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516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ora" pitchFamily="2" charset="0"/>
          <a:cs typeface="Sora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323849</xdr:colOff>
      <xdr:row>0</xdr:row>
      <xdr:rowOff>128587</xdr:rowOff>
    </xdr:from>
    <xdr:to>
      <xdr:col>28</xdr:col>
      <xdr:colOff>76200</xdr:colOff>
      <xdr:row>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4C6C68-C571-B698-5270-79FC9A1CC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161492</xdr:colOff>
      <xdr:row>9</xdr:row>
      <xdr:rowOff>138545</xdr:rowOff>
    </xdr:from>
    <xdr:to>
      <xdr:col>35</xdr:col>
      <xdr:colOff>462828</xdr:colOff>
      <xdr:row>20</xdr:row>
      <xdr:rowOff>103910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DEB723-AED8-BD23-F5F1-310BCA04B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181840</xdr:colOff>
      <xdr:row>0</xdr:row>
      <xdr:rowOff>86592</xdr:rowOff>
    </xdr:from>
    <xdr:to>
      <xdr:col>35</xdr:col>
      <xdr:colOff>510885</xdr:colOff>
      <xdr:row>9</xdr:row>
      <xdr:rowOff>51956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8BEF01-90C3-DAC2-6B26-2EFE43809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9</xdr:row>
      <xdr:rowOff>138544</xdr:rowOff>
    </xdr:from>
    <xdr:to>
      <xdr:col>43</xdr:col>
      <xdr:colOff>301337</xdr:colOff>
      <xdr:row>20</xdr:row>
      <xdr:rowOff>103909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DCDFBC-DB88-45E5-B7C5-89539CBC1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20348</xdr:colOff>
      <xdr:row>0</xdr:row>
      <xdr:rowOff>86591</xdr:rowOff>
    </xdr:from>
    <xdr:to>
      <xdr:col>43</xdr:col>
      <xdr:colOff>349394</xdr:colOff>
      <xdr:row>9</xdr:row>
      <xdr:rowOff>51955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097715-6C05-4998-A198-F39E7D723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31</xdr:row>
      <xdr:rowOff>51955</xdr:rowOff>
    </xdr:from>
    <xdr:to>
      <xdr:col>27</xdr:col>
      <xdr:colOff>358487</xdr:colOff>
      <xdr:row>50</xdr:row>
      <xdr:rowOff>121227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8D9DDD2-3F9B-43BF-AAD5-1DDD28C69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23</xdr:row>
      <xdr:rowOff>138545</xdr:rowOff>
    </xdr:from>
    <xdr:to>
      <xdr:col>27</xdr:col>
      <xdr:colOff>381000</xdr:colOff>
      <xdr:row>32</xdr:row>
      <xdr:rowOff>103909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3F6230D-6D78-4BAE-A4A5-2BCEB23BD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</xdr:colOff>
      <xdr:row>32</xdr:row>
      <xdr:rowOff>76200</xdr:rowOff>
    </xdr:from>
    <xdr:to>
      <xdr:col>39</xdr:col>
      <xdr:colOff>533400</xdr:colOff>
      <xdr:row>49</xdr:row>
      <xdr:rowOff>155864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D076912-6653-43A4-A383-B9F3AB47C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23</xdr:row>
      <xdr:rowOff>0</xdr:rowOff>
    </xdr:from>
    <xdr:to>
      <xdr:col>40</xdr:col>
      <xdr:colOff>381000</xdr:colOff>
      <xdr:row>31</xdr:row>
      <xdr:rowOff>138546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32C8D98-56EA-4513-B295-04DB30307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323849</xdr:colOff>
      <xdr:row>0</xdr:row>
      <xdr:rowOff>128587</xdr:rowOff>
    </xdr:from>
    <xdr:to>
      <xdr:col>28</xdr:col>
      <xdr:colOff>76200</xdr:colOff>
      <xdr:row>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A06265-C634-4C98-A17E-E7CA83631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161492</xdr:colOff>
      <xdr:row>9</xdr:row>
      <xdr:rowOff>138545</xdr:rowOff>
    </xdr:from>
    <xdr:to>
      <xdr:col>35</xdr:col>
      <xdr:colOff>462828</xdr:colOff>
      <xdr:row>20</xdr:row>
      <xdr:rowOff>103910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234AED-0978-4FE6-865B-DE4AD26F3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181840</xdr:colOff>
      <xdr:row>0</xdr:row>
      <xdr:rowOff>86592</xdr:rowOff>
    </xdr:from>
    <xdr:to>
      <xdr:col>35</xdr:col>
      <xdr:colOff>510885</xdr:colOff>
      <xdr:row>9</xdr:row>
      <xdr:rowOff>51956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A88527-4BA1-41A3-8CB3-08BC72BAA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9</xdr:row>
      <xdr:rowOff>138544</xdr:rowOff>
    </xdr:from>
    <xdr:to>
      <xdr:col>43</xdr:col>
      <xdr:colOff>301337</xdr:colOff>
      <xdr:row>20</xdr:row>
      <xdr:rowOff>103909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1429D7E-1D24-42CB-B18A-24485626A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20348</xdr:colOff>
      <xdr:row>0</xdr:row>
      <xdr:rowOff>86591</xdr:rowOff>
    </xdr:from>
    <xdr:to>
      <xdr:col>43</xdr:col>
      <xdr:colOff>349394</xdr:colOff>
      <xdr:row>9</xdr:row>
      <xdr:rowOff>51955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D29BF2-2642-401F-B78E-E474ED157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31</xdr:row>
      <xdr:rowOff>51955</xdr:rowOff>
    </xdr:from>
    <xdr:to>
      <xdr:col>27</xdr:col>
      <xdr:colOff>358487</xdr:colOff>
      <xdr:row>50</xdr:row>
      <xdr:rowOff>121227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4A7536-22B2-4302-9386-53315473A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23</xdr:row>
      <xdr:rowOff>138545</xdr:rowOff>
    </xdr:from>
    <xdr:to>
      <xdr:col>27</xdr:col>
      <xdr:colOff>381000</xdr:colOff>
      <xdr:row>32</xdr:row>
      <xdr:rowOff>103909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1AEDAB9-5E1B-4452-A771-0C9C05003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</xdr:colOff>
      <xdr:row>32</xdr:row>
      <xdr:rowOff>76200</xdr:rowOff>
    </xdr:from>
    <xdr:to>
      <xdr:col>39</xdr:col>
      <xdr:colOff>533400</xdr:colOff>
      <xdr:row>49</xdr:row>
      <xdr:rowOff>155864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774BCF8-6CF2-438C-A02C-5F866CE00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23</xdr:row>
      <xdr:rowOff>0</xdr:rowOff>
    </xdr:from>
    <xdr:to>
      <xdr:col>40</xdr:col>
      <xdr:colOff>381000</xdr:colOff>
      <xdr:row>31</xdr:row>
      <xdr:rowOff>138546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280396A-1FCD-441E-B63A-0A7000D4F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0EC35-A897-4359-B483-E9389551C0EE}" name="Tabela1" displayName="Tabela1" ref="A1:D1770" totalsRowShown="0" headerRowDxfId="120" dataDxfId="118" headerRowBorderDxfId="119" tableBorderDxfId="117" totalsRowBorderDxfId="116" headerRowCellStyle="Moeda">
  <autoFilter ref="A1:D1770" xr:uid="{EE10EC35-A897-4359-B483-E9389551C0EE}"/>
  <tableColumns count="4">
    <tableColumn id="1" xr3:uid="{B47A128A-E628-452F-B5AA-6B9F91BC84E3}" name="Empresa" dataDxfId="115"/>
    <tableColumn id="2" xr3:uid="{4FCB5F13-6DED-47A4-98A5-25355E8EDC5A}" name="Mês" dataDxfId="114"/>
    <tableColumn id="3" xr3:uid="{B347D98F-3CFF-4FBD-BDBC-EAA7D8B7E2D1}" name="Valor" dataDxfId="113" dataCellStyle="Moeda"/>
    <tableColumn id="4" xr3:uid="{D0C5C216-EF74-46EC-83E2-636A0156EF7F}" name="% Mensal" dataDxfId="1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5A52A-3204-4D3A-B162-6D9F85DE8DC5}" name="Tabela2" displayName="Tabela2" ref="F3:J15" totalsRowShown="0" headerRowDxfId="111" dataDxfId="110" tableBorderDxfId="109">
  <tableColumns count="5">
    <tableColumn id="1" xr3:uid="{697F2973-8644-4AEA-861A-3108F79D03EB}" name="Mês" dataDxfId="108"/>
    <tableColumn id="2" xr3:uid="{E17DEDA9-0272-48E2-A620-C8AE14097987}" name="25. Resultado" dataDxfId="107" dataCellStyle="Moeda">
      <calculatedColumnFormula>SUMIF(Tabela1[Mês],Tabela2[[#This Row],[Mês]],Tabela1[Valor])</calculatedColumnFormula>
    </tableColumn>
    <tableColumn id="3" xr3:uid="{19457958-CAAB-459D-96D1-03B0DEDE77F0}" name="24. Resultado" dataDxfId="106">
      <calculatedColumnFormula>SUMIF(Tabela18[Mês],Tabela2[[#This Row],[Mês]],Tabela18[Valor])</calculatedColumnFormula>
    </tableColumn>
    <tableColumn id="4" xr3:uid="{10C94E41-42D5-473C-A2EA-5ED3CF182189}" name="↑↓%" dataDxfId="105">
      <calculatedColumnFormula>IFERROR((Tabela2[[#This Row],[25. Resultado]]/Tabela2[[#This Row],[24. Resultado]]),"")</calculatedColumnFormula>
    </tableColumn>
    <tableColumn id="5" xr3:uid="{6C3CAA77-F12B-48D7-A915-1718DA125235}" name="MaM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DC0C5E-2574-4C3A-BCB1-41C4291D2E85}" name="Tabela3" displayName="Tabela3" ref="L3:O7" totalsRowShown="0" headerRowDxfId="103" dataDxfId="102" tableBorderDxfId="101">
  <autoFilter ref="L3:O7" xr:uid="{32DC0C5E-2574-4C3A-BCB1-41C4291D2E85}"/>
  <tableColumns count="4">
    <tableColumn id="1" xr3:uid="{B80C34D4-5590-4CCE-91EA-F78B0FA2EBFA}" name="Quadrimestre" dataDxfId="100"/>
    <tableColumn id="2" xr3:uid="{140C7FD2-DABD-4FB5-AB73-E9613B3E38C8}" name="25. Resultado" dataDxfId="99" dataCellStyle="Moeda"/>
    <tableColumn id="3" xr3:uid="{5E0B6C63-47CE-46C3-9BED-FC59F99FABD9}" name="24. Resultado" dataDxfId="98" dataCellStyle="Moeda">
      <calculatedColumnFormula>Tabela9[[#This Row],[24. Resultado]]</calculatedColumnFormula>
    </tableColumn>
    <tableColumn id="4" xr3:uid="{0AAFAA05-21E7-486F-87FC-5C739558593F}" name="↑↓%" dataDxfId="97">
      <calculatedColumnFormula>IFERROR(Tabela3[[#This Row],[25. Resultado]]/Tabela3[[#This Row],[24. Resultado]],"")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246F4E-C6B8-46E7-9AB1-CE93DF6E7DC1}" name="Tabela4" displayName="Tabela4" ref="L11:O15" totalsRowShown="0" headerRowDxfId="96" tableBorderDxfId="95">
  <autoFilter ref="L11:O15" xr:uid="{C3246F4E-C6B8-46E7-9AB1-CE93DF6E7DC1}"/>
  <tableColumns count="4">
    <tableColumn id="1" xr3:uid="{E38F5148-C6E3-4A8C-BF14-6A040A26B227}" name="Trimestre" dataDxfId="94"/>
    <tableColumn id="2" xr3:uid="{1426215C-2A54-4CDA-982B-99D88AF79EE5}" name="25. Resultado" dataDxfId="93" dataCellStyle="Moeda"/>
    <tableColumn id="3" xr3:uid="{191277FD-61A3-4858-B2CC-2FF30835EBFF}" name="24. Resultado" dataDxfId="92" dataCellStyle="Moeda">
      <calculatedColumnFormula>Tabela10[[#This Row],[24. Resultado]]</calculatedColumnFormula>
    </tableColumn>
    <tableColumn id="4" xr3:uid="{859E950F-C66D-44E5-827F-0D2D74E38A6F}" name="↑↓%" dataDxfId="91">
      <calculatedColumnFormula>IFERROR(Tabela4[[#This Row],[25. Resultado]]/Tabela4[[#This Row],[24. Resultado]],"")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63120A-1553-48D5-B257-F31F19547C2F}" name="Tabela5" displayName="Tabela5" ref="F21:I133" totalsRowShown="0" headerRowDxfId="90" dataDxfId="89" tableBorderDxfId="88">
  <autoFilter ref="F21:I133" xr:uid="{BB63120A-1553-48D5-B257-F31F19547C2F}"/>
  <sortState xmlns:xlrd2="http://schemas.microsoft.com/office/spreadsheetml/2017/richdata2" ref="F22:I122">
    <sortCondition descending="1" ref="G21:G122"/>
  </sortState>
  <tableColumns count="4">
    <tableColumn id="1" xr3:uid="{CAE73A41-7A64-4212-9363-021FE0AC2424}" name="Laboratório" dataDxfId="87"/>
    <tableColumn id="2" xr3:uid="{B8AA6E40-41CD-4C6F-A7CF-2ECF6AE05DF4}" name="25. Fat." dataDxfId="86" dataCellStyle="Moeda"/>
    <tableColumn id="3" xr3:uid="{99318DD0-7179-45D3-9162-6F811AFB59FD}" name="24. Fat" dataDxfId="85"/>
    <tableColumn id="4" xr3:uid="{B396E327-B82B-4F8D-806E-7ED87D5AE231}" name="↑↓%" dataDxfId="84">
      <calculatedColumnFormula>IFERROR(Tabela5[[#This Row],[25. Fat.]]/Tabela5[[#This Row],[24. Fat]],"")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DA7E62-8305-46C8-BB8B-0101DDBF1F61}" name="Tabela6" displayName="Tabela6" ref="L21:O122" totalsRowShown="0" headerRowDxfId="83" dataDxfId="82" tableBorderDxfId="81">
  <autoFilter ref="L21:O122" xr:uid="{FFDA7E62-8305-46C8-BB8B-0101DDBF1F61}"/>
  <sortState xmlns:xlrd2="http://schemas.microsoft.com/office/spreadsheetml/2017/richdata2" ref="L22:O122">
    <sortCondition descending="1" ref="M21:M122"/>
  </sortState>
  <tableColumns count="4">
    <tableColumn id="1" xr3:uid="{A123F8DA-562B-4F2C-B182-FA5AE016AEBF}" name="Empresa" dataDxfId="80"/>
    <tableColumn id="2" xr3:uid="{EAB5BC95-1FBA-4B65-96A9-5883BA8973A1}" name="25. Fat." dataDxfId="79">
      <calculatedColumnFormula>SUMIFS(Tabela1[Valor],Tabela1[Empresa],Tabela6[[#This Row],[Empresa]],Tabela1[Mês],$M$20)</calculatedColumnFormula>
    </tableColumn>
    <tableColumn id="3" xr3:uid="{405D2942-7CF7-4ED2-9E69-B9D6992CC4EC}" name="24. Fat" dataDxfId="78">
      <calculatedColumnFormula>SUMIFS(Tabela18[Valor],Tabela18[Empresa],Tabela6[[#This Row],[Empresa]],Tabela18[Mês],'25. BANCO DE DADOS'!$M$20)</calculatedColumnFormula>
    </tableColumn>
    <tableColumn id="4" xr3:uid="{2A4A7A06-3430-4D2D-BF53-9DAF36C427F4}" name="↑↓%" dataDxfId="77">
      <calculatedColumnFormula>IFERROR(Tabela6[[#This Row],[25. Fat.]]/Tabela6[[#This Row],[24. Fat]],"")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D89C7C-D991-4E00-8CD6-21A4B299D138}" name="Tabela18" displayName="Tabela18" ref="A1:D872" totalsRowShown="0" headerRowDxfId="76" dataDxfId="74" headerRowBorderDxfId="75">
  <autoFilter ref="A1:D872" xr:uid="{419281A7-00F4-43AD-A7FA-36FF0907AA8F}"/>
  <tableColumns count="4">
    <tableColumn id="1" xr3:uid="{37BF3AE9-4280-4D71-9463-93C87D33EC1A}" name="Empresa" dataDxfId="73"/>
    <tableColumn id="2" xr3:uid="{19D78FFC-48CD-4E57-A90C-57B62C2A2165}" name="Mês" dataDxfId="72"/>
    <tableColumn id="3" xr3:uid="{48FDB245-200F-4391-8D1D-471DBFE8FFA4}" name="Valor" dataDxfId="71" dataCellStyle="Moeda"/>
    <tableColumn id="4" xr3:uid="{DB90FEF0-3C36-4AF8-A426-861CB86CA21F}" name="% Mensal" dataDxfId="7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85BCF8-D869-44E9-8231-58C0343F55EB}" name="Tabela8" displayName="Tabela8" ref="F3:G15" totalsRowShown="0" headerRowDxfId="69" dataDxfId="68">
  <autoFilter ref="F3:G15" xr:uid="{F385BCF8-D869-44E9-8231-58C0343F55EB}"/>
  <tableColumns count="2">
    <tableColumn id="1" xr3:uid="{B5541739-9F8C-4543-8915-816431B9D4A4}" name="Mês" dataDxfId="67"/>
    <tableColumn id="2" xr3:uid="{DA1F9FA5-30D1-425F-8E3F-4D4A00DB7DEC}" name="24. Resultado" dataDxfId="66">
      <calculatedColumnFormula>SUMIF(Tabela18[Mês],Tabela8[[#This Row],[Mês]],Tabela18[Valor])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C8FA39-6641-4154-93D0-71BCD7431C7B}" name="Tabela9" displayName="Tabela9" ref="I3:J6" totalsRowShown="0" headerRowDxfId="65" dataDxfId="63" headerRowBorderDxfId="64" tableBorderDxfId="62" totalsRowBorderDxfId="61">
  <autoFilter ref="I3:J6" xr:uid="{32C8FA39-6641-4154-93D0-71BCD7431C7B}"/>
  <tableColumns count="2">
    <tableColumn id="1" xr3:uid="{B4CC19FF-76F8-4B6B-BF46-9BEAD6CDE143}" name="Quadrimestre" dataDxfId="60"/>
    <tableColumn id="2" xr3:uid="{88D8D208-F018-4738-8C36-15218BD08C55}" name="24. Resultado" dataDxfId="5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9094E3-26E7-42D8-8591-43FE38EFE2CA}" name="Tabela10" displayName="Tabela10" ref="I11:J16" totalsRowShown="0" headerRowDxfId="58" dataDxfId="56" headerRowBorderDxfId="57" tableBorderDxfId="55" totalsRowBorderDxfId="54">
  <autoFilter ref="I11:J16" xr:uid="{D89094E3-26E7-42D8-8591-43FE38EFE2CA}"/>
  <tableColumns count="2">
    <tableColumn id="1" xr3:uid="{26FB5435-D6F2-4702-80E6-E27387C1E015}" name="Trimestre" dataDxfId="53"/>
    <tableColumn id="2" xr3:uid="{AAC11D2C-18DE-4409-919E-5C1AD1D321BC}" name="24. Resultado" dataDxfId="5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2440E4-A9D5-4BBF-A759-DFBEB7EB8067}" name="Tabela113" displayName="Tabela113" ref="A1:D1770" totalsRowShown="0" headerRowDxfId="44" dataDxfId="43" headerRowBorderDxfId="41" tableBorderDxfId="42" totalsRowBorderDxfId="40" headerRowCellStyle="Moeda">
  <autoFilter ref="A1:D1770" xr:uid="{A42440E4-A9D5-4BBF-A759-DFBEB7EB8067}"/>
  <tableColumns count="4">
    <tableColumn id="1" xr3:uid="{BAB67871-5A96-4243-9560-2F11F42972F0}" name="Empresa" dataDxfId="39"/>
    <tableColumn id="2" xr3:uid="{CAA41949-48E0-46C2-A71B-7A9C4C1008FB}" name="Mês" dataDxfId="38"/>
    <tableColumn id="3" xr3:uid="{6121B879-70DC-4FF5-8D00-E8BAE4A4D904}" name="Valor" dataDxfId="37" dataCellStyle="Moeda"/>
    <tableColumn id="4" xr3:uid="{F8600196-03D2-4620-872A-070D7FAD99E9}" name="% Mensal" dataDxfId="3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6357377-09A1-437B-9542-2349B3262330}" name="Tabela214" displayName="Tabela214" ref="F3:J15" totalsRowShown="0" headerRowDxfId="35" dataDxfId="34" tableBorderDxfId="33">
  <tableColumns count="5">
    <tableColumn id="1" xr3:uid="{F693161B-817A-4689-B922-84CDB4E9ACB3}" name="Mês" dataDxfId="32"/>
    <tableColumn id="2" xr3:uid="{97A00206-7C1E-4DEB-A864-F499AA658378}" name="26. Resultado 2 " dataDxfId="31" dataCellStyle="Moeda"/>
    <tableColumn id="3" xr3:uid="{BB5337E8-85F3-4314-8912-A4B5C146CE32}" name="25. Resultado 2" dataDxfId="5" dataCellStyle="Moeda"/>
    <tableColumn id="4" xr3:uid="{AF60FCB3-E80D-400E-B87D-D5F6EAC5A29A}" name="↑↓%" dataDxfId="30">
      <calculatedColumnFormula>IFERROR((Tabela214[[#This Row],[26. Resultado 2 ]]/Tabela214[[#This Row],[25. Resultado 2]]),"")</calculatedColumnFormula>
    </tableColumn>
    <tableColumn id="5" xr3:uid="{91C6E85A-E990-44AD-9CDF-D17DF703C500}" name="MaM" dataDxfId="2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12E1EE-429C-4443-9CAC-B68D545951C3}" name="Tabela315" displayName="Tabela315" ref="L3:O7" totalsRowShown="0" headerRowDxfId="28" dataDxfId="27" tableBorderDxfId="26">
  <autoFilter ref="L3:O7" xr:uid="{5512E1EE-429C-4443-9CAC-B68D545951C3}"/>
  <tableColumns count="4">
    <tableColumn id="1" xr3:uid="{0BCA8D0C-CD08-496B-9B0B-9FE6D8D85A1B}" name="Quadrimestre" dataDxfId="25"/>
    <tableColumn id="2" xr3:uid="{8C4007AB-2771-4A65-B3B8-38E62723343E}" name="26. Resultado 2 " dataDxfId="24" dataCellStyle="Moeda"/>
    <tableColumn id="3" xr3:uid="{B6E36848-6FFB-4850-8C53-E25D2F48D073}" name="25. Resultado 2" dataDxfId="23" dataCellStyle="Moeda">
      <calculatedColumnFormula>Tabela9[[#This Row],[24. Resultado]]</calculatedColumnFormula>
    </tableColumn>
    <tableColumn id="4" xr3:uid="{799BD99F-963B-4552-B9C4-4BF60E03ED1D}" name="↑↓%" dataDxfId="22">
      <calculatedColumnFormula>IFERROR(Tabela315[[#This Row],[26. Resultado 2 ]]/Tabela315[[#This Row],[25. Resultado 2]],"")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6CA54F8-4747-42C9-9095-359D64C83C86}" name="Tabela416" displayName="Tabela416" ref="L11:O15" totalsRowShown="0" headerRowDxfId="21" dataDxfId="0" tableBorderDxfId="20">
  <autoFilter ref="L11:O15" xr:uid="{06CA54F8-4747-42C9-9095-359D64C83C86}"/>
  <tableColumns count="4">
    <tableColumn id="1" xr3:uid="{513F65E4-7188-4477-99FB-53A719FC9FD5}" name="Trimestre" dataDxfId="4"/>
    <tableColumn id="2" xr3:uid="{D4E3F796-6C76-4393-B90C-5622E0FC4205}" name="26. Resultado 2 " dataDxfId="3" dataCellStyle="Moeda"/>
    <tableColumn id="3" xr3:uid="{40B8E93B-4688-4A12-A278-64D39FC94DB2}" name="25. Resultado 2" dataDxfId="2" dataCellStyle="Moeda"/>
    <tableColumn id="4" xr3:uid="{CCF5614E-661A-4101-89CF-29B94DD3D8A3}" name="↑↓%" dataDxfId="1">
      <calculatedColumnFormula>IFERROR(Tabela416[[#This Row],[26. Resultado 2 ]]/Tabela416[[#This Row],[25. Resultado 2]],"")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494170A-2543-4C55-9B93-ADBC04E130B5}" name="Tabela517" displayName="Tabela517" ref="F21:I133" totalsRowShown="0" headerRowDxfId="19" dataDxfId="18" tableBorderDxfId="17">
  <autoFilter ref="F21:I133" xr:uid="{A494170A-2543-4C55-9B93-ADBC04E130B5}"/>
  <sortState xmlns:xlrd2="http://schemas.microsoft.com/office/spreadsheetml/2017/richdata2" ref="F22:I122">
    <sortCondition descending="1" ref="G21:G122"/>
  </sortState>
  <tableColumns count="4">
    <tableColumn id="1" xr3:uid="{B5A78BB2-3908-490B-A00B-5B8DF44D85E8}" name="Laboratório" dataDxfId="16"/>
    <tableColumn id="2" xr3:uid="{7A0471FF-F725-44DC-B369-913DD9C56CD1}" name="25. Fat." dataDxfId="15" dataCellStyle="Moeda"/>
    <tableColumn id="3" xr3:uid="{F53FC8E0-B112-4AEC-9E29-BC61968B2693}" name="24. Fat" dataDxfId="14"/>
    <tableColumn id="4" xr3:uid="{DFFF2460-A580-4C76-8825-A75112E02A27}" name="↑↓%" dataDxfId="13">
      <calculatedColumnFormula>IFERROR(Tabela517[[#This Row],[25. Fat.]]/Tabela517[[#This Row],[24. Fat]],"")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03D927E-5FCA-4617-A8B4-913D6F24EA91}" name="Tabela618" displayName="Tabela618" ref="L21:O122" totalsRowShown="0" headerRowDxfId="12" dataDxfId="11" tableBorderDxfId="10">
  <autoFilter ref="L21:O122" xr:uid="{E03D927E-5FCA-4617-A8B4-913D6F24EA91}"/>
  <sortState xmlns:xlrd2="http://schemas.microsoft.com/office/spreadsheetml/2017/richdata2" ref="L22:O122">
    <sortCondition descending="1" ref="M21:M122"/>
  </sortState>
  <tableColumns count="4">
    <tableColumn id="1" xr3:uid="{3581B636-3EE9-4414-BF3F-475B21FF1DD2}" name="Empresa" dataDxfId="9"/>
    <tableColumn id="2" xr3:uid="{6245FB9B-7305-4D8D-9D04-84F327FDC5F7}" name="25. Fat." dataDxfId="8">
      <calculatedColumnFormula>SUMIFS(Tabela113[Valor],Tabela113[Empresa],Tabela618[[#This Row],[Empresa]],Tabela113[Mês],$M$20)</calculatedColumnFormula>
    </tableColumn>
    <tableColumn id="3" xr3:uid="{2801B5E1-3EA3-4FDD-9777-31B14E85891A}" name="24. Fat" dataDxfId="7">
      <calculatedColumnFormula>SUMIFS(Tabela18[Valor],Tabela18[Empresa],Tabela618[[#This Row],[Empresa]],Tabela18[Mês],'25. BANCO DE DADOS'!$M$20)</calculatedColumnFormula>
    </tableColumn>
    <tableColumn id="4" xr3:uid="{87FBE8FB-AD89-4E30-8A90-4CFCFF7CFC50}" name="↑↓%" dataDxfId="6">
      <calculatedColumnFormula>IFERROR(Tabela618[[#This Row],[25. Fat.]]/Tabela618[[#This Row],[24. Fat]],"")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EDFB41-B75D-44F8-B9D4-6A3167FE4291}" name="Tabela612" displayName="Tabela612" ref="A4:D105" totalsRowShown="0" headerRowDxfId="51" dataDxfId="50" tableBorderDxfId="49">
  <autoFilter ref="A4:D105" xr:uid="{85EDFB41-B75D-44F8-B9D4-6A3167FE4291}"/>
  <sortState xmlns:xlrd2="http://schemas.microsoft.com/office/spreadsheetml/2017/richdata2" ref="A5:C105">
    <sortCondition descending="1" ref="B20:B121"/>
  </sortState>
  <tableColumns count="4">
    <tableColumn id="1" xr3:uid="{0F8DE1BD-0FE6-4B73-8227-67821E23C05C}" name="Laboratótios" dataDxfId="48"/>
    <tableColumn id="2" xr3:uid="{EFA78DE7-EA7E-4743-8E2C-4F68AFD93170}" name="MAIO " dataDxfId="47"/>
    <tableColumn id="3" xr3:uid="{ABE626E7-6523-4FC5-9447-62F5230738DC}" name="Laboratótios 2" dataDxfId="46"/>
    <tableColumn id="8" xr3:uid="{57E9D35B-59E4-4992-BD16-0495A2B39FB0}" name="ABRIL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drawing" Target="../drawings/drawing2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5B1C-739D-4A44-879B-F35858C77B94}">
  <sheetPr>
    <tabColor theme="5" tint="0.59999389629810485"/>
  </sheetPr>
  <dimension ref="A1:O1771"/>
  <sheetViews>
    <sheetView showGridLines="0" topLeftCell="B1" zoomScale="110" zoomScaleNormal="110" workbookViewId="0">
      <selection activeCell="B1" sqref="A1:XFD1048576"/>
    </sheetView>
  </sheetViews>
  <sheetFormatPr defaultColWidth="9.109375" defaultRowHeight="13.8" x14ac:dyDescent="0.3"/>
  <cols>
    <col min="1" max="1" width="44.33203125" style="3" customWidth="1"/>
    <col min="2" max="2" width="16.33203125" style="51" customWidth="1"/>
    <col min="3" max="3" width="20.88671875" style="62" customWidth="1"/>
    <col min="4" max="4" width="17.6640625" style="51" customWidth="1"/>
    <col min="5" max="5" width="17.44140625" style="51" customWidth="1"/>
    <col min="6" max="6" width="22.21875" style="3" customWidth="1"/>
    <col min="7" max="7" width="17.88671875" style="30" customWidth="1"/>
    <col min="8" max="8" width="17.6640625" style="3" bestFit="1" customWidth="1"/>
    <col min="9" max="10" width="14.44140625" style="3" customWidth="1"/>
    <col min="11" max="11" width="6.21875" style="3" customWidth="1"/>
    <col min="12" max="12" width="35.44140625" style="3" bestFit="1" customWidth="1"/>
    <col min="13" max="14" width="19.33203125" style="3" bestFit="1" customWidth="1"/>
    <col min="15" max="15" width="9.109375" style="3" customWidth="1"/>
    <col min="16" max="16384" width="9.109375" style="3"/>
  </cols>
  <sheetData>
    <row r="1" spans="1:15" s="12" customFormat="1" ht="19.8" customHeight="1" x14ac:dyDescent="0.3">
      <c r="A1" s="48" t="s">
        <v>126</v>
      </c>
      <c r="B1" s="48" t="s">
        <v>101</v>
      </c>
      <c r="C1" s="55" t="s">
        <v>106</v>
      </c>
      <c r="D1" s="48" t="s">
        <v>105</v>
      </c>
      <c r="E1" s="49"/>
      <c r="F1" s="86" t="s">
        <v>167</v>
      </c>
      <c r="G1" s="86"/>
      <c r="H1" s="86"/>
      <c r="I1" s="86"/>
      <c r="J1" s="86"/>
      <c r="K1" s="86"/>
      <c r="L1" s="86"/>
      <c r="M1" s="86"/>
    </row>
    <row r="2" spans="1:15" ht="14.4" customHeight="1" x14ac:dyDescent="0.3">
      <c r="A2" s="45" t="s">
        <v>0</v>
      </c>
      <c r="B2" s="14" t="s">
        <v>102</v>
      </c>
      <c r="C2" s="15">
        <v>238283.02</v>
      </c>
      <c r="D2" s="46">
        <v>0.14807200000000001</v>
      </c>
      <c r="E2" s="36"/>
    </row>
    <row r="3" spans="1:15" ht="15.6" x14ac:dyDescent="0.3">
      <c r="A3" s="45" t="s">
        <v>1</v>
      </c>
      <c r="B3" s="14" t="s">
        <v>102</v>
      </c>
      <c r="C3" s="15">
        <v>228386.47</v>
      </c>
      <c r="D3" s="46">
        <v>0.14192199999999999</v>
      </c>
      <c r="E3" s="36"/>
      <c r="F3" s="36" t="s">
        <v>101</v>
      </c>
      <c r="G3" s="31" t="s">
        <v>142</v>
      </c>
      <c r="H3" s="12" t="s">
        <v>143</v>
      </c>
      <c r="I3" s="12" t="s">
        <v>144</v>
      </c>
      <c r="J3" s="36" t="s">
        <v>148</v>
      </c>
      <c r="L3" s="12" t="s">
        <v>116</v>
      </c>
      <c r="M3" s="12" t="s">
        <v>142</v>
      </c>
      <c r="N3" s="12" t="s">
        <v>143</v>
      </c>
      <c r="O3" s="12" t="s">
        <v>144</v>
      </c>
    </row>
    <row r="4" spans="1:15" ht="15.6" x14ac:dyDescent="0.3">
      <c r="A4" s="45" t="s">
        <v>2</v>
      </c>
      <c r="B4" s="14" t="s">
        <v>102</v>
      </c>
      <c r="C4" s="15">
        <v>194132.43</v>
      </c>
      <c r="D4" s="46">
        <v>0.12063700000000001</v>
      </c>
      <c r="E4" s="36"/>
      <c r="F4" s="58" t="s">
        <v>102</v>
      </c>
      <c r="G4" s="59">
        <f>SUMIF(Tabela1[Mês],Tabela2[[#This Row],[Mês]],Tabela1[Valor])</f>
        <v>1609233.9299999995</v>
      </c>
      <c r="H4" s="60">
        <f>SUMIF(Tabela18[Mês],Tabela2[[#This Row],[Mês]],Tabela18[Valor])</f>
        <v>968723.97</v>
      </c>
      <c r="I4" s="75">
        <f>IFERROR((Tabela2[[#This Row],[25. Resultado]]/Tabela2[[#This Row],[24. Resultado]]),"")</f>
        <v>1.6611893375571161</v>
      </c>
      <c r="J4" s="61">
        <v>0</v>
      </c>
      <c r="L4" s="3" t="s">
        <v>117</v>
      </c>
      <c r="M4" s="4">
        <f>SUM(G4:G7)</f>
        <v>6254294.9299999988</v>
      </c>
      <c r="N4" s="4">
        <f>Tabela9[[#This Row],[24. Resultado]]</f>
        <v>4043041.89</v>
      </c>
      <c r="O4" s="7">
        <f>IFERROR(Tabela3[[#This Row],[25. Resultado]]/Tabela3[[#This Row],[24. Resultado]],"")</f>
        <v>1.5469280556971916</v>
      </c>
    </row>
    <row r="5" spans="1:15" ht="15.6" x14ac:dyDescent="0.3">
      <c r="A5" s="45" t="s">
        <v>3</v>
      </c>
      <c r="B5" s="14" t="s">
        <v>102</v>
      </c>
      <c r="C5" s="15">
        <v>117865.18</v>
      </c>
      <c r="D5" s="46">
        <v>7.3243000000000003E-2</v>
      </c>
      <c r="E5" s="36"/>
      <c r="F5" s="58" t="s">
        <v>103</v>
      </c>
      <c r="G5" s="59">
        <f>SUMIF(Tabela1[Mês],Tabela2[[#This Row],[Mês]],Tabela1[Valor])</f>
        <v>1384804.5899999996</v>
      </c>
      <c r="H5" s="60">
        <f>SUMIF(Tabela18[Mês],Tabela2[[#This Row],[Mês]],Tabela18[Valor])</f>
        <v>939367.07</v>
      </c>
      <c r="I5" s="75">
        <f>IFERROR((Tabela2[[#This Row],[25. Resultado]]/Tabela2[[#This Row],[24. Resultado]]),"")</f>
        <v>1.4741889876978547</v>
      </c>
      <c r="J5" s="61">
        <f>IFERROR((Tabela2[[#This Row],[25. Resultado]]/G4)-1,"")</f>
        <v>-0.13946346507869112</v>
      </c>
      <c r="L5" s="3" t="s">
        <v>118</v>
      </c>
      <c r="M5" s="4">
        <f>SUM(G8:G11)</f>
        <v>4550959.1599999992</v>
      </c>
      <c r="N5" s="4">
        <f>Tabela9[[#This Row],[24. Resultado]]</f>
        <v>4777239.9500000011</v>
      </c>
      <c r="O5" s="7">
        <f>IFERROR(Tabela3[[#This Row],[25. Resultado]]/Tabela3[[#This Row],[24. Resultado]],"")</f>
        <v>0.95263357244594715</v>
      </c>
    </row>
    <row r="6" spans="1:15" ht="15.6" x14ac:dyDescent="0.3">
      <c r="A6" s="45" t="s">
        <v>4</v>
      </c>
      <c r="B6" s="14" t="s">
        <v>102</v>
      </c>
      <c r="C6" s="15">
        <v>83508.83</v>
      </c>
      <c r="D6" s="46">
        <v>5.1894000000000003E-2</v>
      </c>
      <c r="E6" s="36"/>
      <c r="F6" s="58" t="s">
        <v>104</v>
      </c>
      <c r="G6" s="59">
        <f>SUMIF(Tabela1[Mês],Tabela2[[#This Row],[Mês]],Tabela1[Valor])</f>
        <v>1665670.2399999986</v>
      </c>
      <c r="H6" s="60">
        <f>SUMIF(Tabela18[Mês],Tabela2[[#This Row],[Mês]],Tabela18[Valor])</f>
        <v>1172270.7600000002</v>
      </c>
      <c r="I6" s="75">
        <f>IFERROR((Tabela2[[#This Row],[25. Resultado]]/Tabela2[[#This Row],[24. Resultado]]),"")</f>
        <v>1.4208920812799239</v>
      </c>
      <c r="J6" s="61">
        <f>IFERROR((Tabela2[[#This Row],[25. Resultado]]/G5)-1,"")</f>
        <v>0.20281969891506435</v>
      </c>
      <c r="L6" s="3" t="s">
        <v>119</v>
      </c>
      <c r="M6" s="4">
        <f>SUM(G12:G15)</f>
        <v>5226795.3299999982</v>
      </c>
      <c r="N6" s="4">
        <f>Tabela9[[#This Row],[24. Resultado]]</f>
        <v>5767396.8600000013</v>
      </c>
      <c r="O6" s="7">
        <f>IFERROR(Tabela3[[#This Row],[25. Resultado]]/Tabela3[[#This Row],[24. Resultado]],"")</f>
        <v>0.90626593884160023</v>
      </c>
    </row>
    <row r="7" spans="1:15" ht="15.6" x14ac:dyDescent="0.3">
      <c r="A7" s="45" t="s">
        <v>5</v>
      </c>
      <c r="B7" s="14" t="s">
        <v>102</v>
      </c>
      <c r="C7" s="15">
        <v>78899.45</v>
      </c>
      <c r="D7" s="46">
        <v>4.9028999999999996E-2</v>
      </c>
      <c r="E7" s="36"/>
      <c r="F7" s="58" t="s">
        <v>107</v>
      </c>
      <c r="G7" s="59">
        <f>SUMIF(Tabela1[Mês],Tabela2[[#This Row],[Mês]],Tabela1[Valor])</f>
        <v>1594586.1700000006</v>
      </c>
      <c r="H7" s="60">
        <f>SUMIF(Tabela18[Mês],Tabela2[[#This Row],[Mês]],Tabela18[Valor])</f>
        <v>962680.09</v>
      </c>
      <c r="I7" s="75">
        <f>IFERROR((Tabela2[[#This Row],[25. Resultado]]/Tabela2[[#This Row],[24. Resultado]]),"")</f>
        <v>1.6564029801426563</v>
      </c>
      <c r="J7" s="61">
        <f>IFERROR((Tabela2[[#This Row],[25. Resultado]]/G6)-1,"")</f>
        <v>-4.267595607639485E-2</v>
      </c>
      <c r="M7" s="4"/>
      <c r="N7" s="4"/>
    </row>
    <row r="8" spans="1:15" ht="15.6" x14ac:dyDescent="0.3">
      <c r="A8" s="45" t="s">
        <v>6</v>
      </c>
      <c r="B8" s="14" t="s">
        <v>102</v>
      </c>
      <c r="C8" s="15">
        <v>68680.41</v>
      </c>
      <c r="D8" s="46">
        <v>4.2679000000000002E-2</v>
      </c>
      <c r="E8" s="36"/>
      <c r="F8" s="58" t="s">
        <v>108</v>
      </c>
      <c r="G8" s="59">
        <f>SUMIF(Tabela1[Mês],Tabela2[[#This Row],[Mês]],Tabela1[Valor])</f>
        <v>1929362.9299999995</v>
      </c>
      <c r="H8" s="60">
        <f>SUMIF(Tabela18[Mês],Tabela2[[#This Row],[Mês]],Tabela18[Valor])</f>
        <v>1209465.2500000002</v>
      </c>
      <c r="I8" s="75">
        <f>IFERROR((Tabela2[[#This Row],[25. Resultado]]/Tabela2[[#This Row],[24. Resultado]]),"")</f>
        <v>1.5952198130537434</v>
      </c>
      <c r="J8" s="61">
        <f>IFERROR((Tabela2[[#This Row],[25. Resultado]]/G7)-1,"")</f>
        <v>0.2099458569868311</v>
      </c>
    </row>
    <row r="9" spans="1:15" ht="15.6" x14ac:dyDescent="0.3">
      <c r="A9" s="45" t="s">
        <v>7</v>
      </c>
      <c r="B9" s="14" t="s">
        <v>102</v>
      </c>
      <c r="C9" s="15">
        <v>51024.92</v>
      </c>
      <c r="D9" s="46">
        <v>3.1708E-2</v>
      </c>
      <c r="E9" s="36"/>
      <c r="F9" s="58" t="s">
        <v>109</v>
      </c>
      <c r="G9" s="59">
        <v>270899.38</v>
      </c>
      <c r="H9" s="60">
        <f>SUMIF(Tabela18[Mês],Tabela2[[#This Row],[Mês]],Tabela18[Valor])</f>
        <v>1212174.2100000002</v>
      </c>
      <c r="I9" s="76">
        <f>IFERROR((Tabela2[[#This Row],[25. Resultado]]/Tabela2[[#This Row],[24. Resultado]]),"")</f>
        <v>0.2234822171311498</v>
      </c>
      <c r="J9" s="61">
        <f>IFERROR((Tabela2[[#This Row],[25. Resultado]]/G8)-1,"")</f>
        <v>-0.85959127969769789</v>
      </c>
    </row>
    <row r="10" spans="1:15" ht="15.6" x14ac:dyDescent="0.3">
      <c r="A10" s="45" t="s">
        <v>8</v>
      </c>
      <c r="B10" s="14" t="s">
        <v>102</v>
      </c>
      <c r="C10" s="15">
        <v>49910.54</v>
      </c>
      <c r="D10" s="46">
        <v>3.1015000000000001E-2</v>
      </c>
      <c r="E10" s="36"/>
      <c r="F10" s="58" t="s">
        <v>110</v>
      </c>
      <c r="G10" s="59">
        <f>SUMIF(Tabela1[Mês],Tabela2[[#This Row],[Mês]],Tabela1[Valor])</f>
        <v>852090.49</v>
      </c>
      <c r="H10" s="60">
        <f>SUMIF(Tabela18[Mês],Tabela2[[#This Row],[Mês]],Tabela18[Valor])</f>
        <v>1244445.0199999998</v>
      </c>
      <c r="I10" s="76">
        <f>IFERROR((Tabela2[[#This Row],[25. Resultado]]/Tabela2[[#This Row],[24. Resultado]]),"")</f>
        <v>0.68471525564062297</v>
      </c>
      <c r="J10" s="61">
        <f>IFERROR((Tabela2[[#This Row],[25. Resultado]]/G9)-1,"")</f>
        <v>2.1454132157851378</v>
      </c>
    </row>
    <row r="11" spans="1:15" ht="15.6" x14ac:dyDescent="0.3">
      <c r="A11" s="45" t="s">
        <v>9</v>
      </c>
      <c r="B11" s="14" t="s">
        <v>102</v>
      </c>
      <c r="C11" s="15">
        <v>45398</v>
      </c>
      <c r="D11" s="46">
        <v>2.8211E-2</v>
      </c>
      <c r="E11" s="36"/>
      <c r="F11" s="58" t="s">
        <v>111</v>
      </c>
      <c r="G11" s="59">
        <f>SUMIF(Tabela1[Mês],Tabela2[[#This Row],[Mês]],Tabela1[Valor])</f>
        <v>1498606.3599999994</v>
      </c>
      <c r="H11" s="60">
        <f>SUMIF(Tabela18[Mês],Tabela2[[#This Row],[Mês]],Tabela18[Valor])</f>
        <v>1111155.4700000004</v>
      </c>
      <c r="I11" s="75">
        <f>IFERROR((Tabela2[[#This Row],[25. Resultado]]/Tabela2[[#This Row],[24. Resultado]]),"")</f>
        <v>1.3486918801740668</v>
      </c>
      <c r="J11" s="61">
        <f>IFERROR((Tabela2[[#This Row],[25. Resultado]]/G10)-1,"")</f>
        <v>0.75874085861467533</v>
      </c>
      <c r="L11" s="3" t="s">
        <v>120</v>
      </c>
      <c r="M11" s="3" t="s">
        <v>142</v>
      </c>
      <c r="N11" s="3" t="s">
        <v>143</v>
      </c>
      <c r="O11" s="3" t="s">
        <v>144</v>
      </c>
    </row>
    <row r="12" spans="1:15" ht="15.6" x14ac:dyDescent="0.3">
      <c r="A12" s="45" t="s">
        <v>10</v>
      </c>
      <c r="B12" s="14" t="s">
        <v>102</v>
      </c>
      <c r="C12" s="15">
        <v>38192.04</v>
      </c>
      <c r="D12" s="46">
        <v>2.3733000000000001E-2</v>
      </c>
      <c r="E12" s="36"/>
      <c r="F12" s="58" t="s">
        <v>112</v>
      </c>
      <c r="G12" s="59">
        <f>SUMIF(Tabela1[Mês],Tabela2[[#This Row],[Mês]],Tabela1[Valor])</f>
        <v>1377471.1499999994</v>
      </c>
      <c r="H12" s="60">
        <f>SUMIF(Tabela18[Mês],Tabela2[[#This Row],[Mês]],Tabela18[Valor])</f>
        <v>1167981.44</v>
      </c>
      <c r="I12" s="75">
        <f>IFERROR((Tabela2[[#This Row],[25. Resultado]]/Tabela2[[#This Row],[24. Resultado]]),"")</f>
        <v>1.1793604785363709</v>
      </c>
      <c r="J12" s="61">
        <f>IFERROR((Tabela2[[#This Row],[25. Resultado]]/G11)-1,"")</f>
        <v>-8.0831907052629881E-2</v>
      </c>
      <c r="L12" s="3" t="s">
        <v>121</v>
      </c>
      <c r="M12" s="4">
        <f>SUM(G4:G6)</f>
        <v>4659708.7599999979</v>
      </c>
      <c r="N12" s="4">
        <f>Tabela10[[#This Row],[24. Resultado]]</f>
        <v>3080361.8000000003</v>
      </c>
      <c r="O12" s="7">
        <f>IFERROR(Tabela4[[#This Row],[25. Resultado]]/Tabela4[[#This Row],[24. Resultado]],"")</f>
        <v>1.5127147596753074</v>
      </c>
    </row>
    <row r="13" spans="1:15" ht="15.6" x14ac:dyDescent="0.3">
      <c r="A13" s="45" t="s">
        <v>11</v>
      </c>
      <c r="B13" s="14" t="s">
        <v>102</v>
      </c>
      <c r="C13" s="15">
        <v>30632.61</v>
      </c>
      <c r="D13" s="46">
        <v>1.9036000000000001E-2</v>
      </c>
      <c r="E13" s="36"/>
      <c r="F13" s="58" t="s">
        <v>113</v>
      </c>
      <c r="G13" s="59">
        <f>SUMIF(Tabela1[Mês],Tabela2[[#This Row],[Mês]],Tabela1[Valor])</f>
        <v>1396971.08</v>
      </c>
      <c r="H13" s="60">
        <f>SUMIF(Tabela18[Mês],Tabela2[[#This Row],[Mês]],Tabela18[Valor])</f>
        <v>1388037.7799999993</v>
      </c>
      <c r="I13" s="76">
        <f>IFERROR((Tabela2[[#This Row],[25. Resultado]]/Tabela2[[#This Row],[24. Resultado]]),"")</f>
        <v>1.006435919921431</v>
      </c>
      <c r="J13" s="61">
        <f>IFERROR((Tabela2[[#This Row],[25. Resultado]]/G12)-1,"")</f>
        <v>1.4156325524495195E-2</v>
      </c>
      <c r="L13" s="3" t="s">
        <v>122</v>
      </c>
      <c r="M13" s="4">
        <f>SUM(G7:G9)</f>
        <v>3794848.48</v>
      </c>
      <c r="N13" s="4">
        <f>Tabela10[[#This Row],[24. Resultado]]</f>
        <v>3384319.5500000007</v>
      </c>
      <c r="O13" s="7">
        <f>IFERROR(Tabela4[[#This Row],[25. Resultado]]/Tabela4[[#This Row],[24. Resultado]],"")</f>
        <v>1.1213032410015771</v>
      </c>
    </row>
    <row r="14" spans="1:15" ht="15.6" x14ac:dyDescent="0.3">
      <c r="A14" s="45" t="s">
        <v>12</v>
      </c>
      <c r="B14" s="14" t="s">
        <v>102</v>
      </c>
      <c r="C14" s="15">
        <v>30578.75</v>
      </c>
      <c r="D14" s="46">
        <v>1.9001999999999998E-2</v>
      </c>
      <c r="E14" s="36"/>
      <c r="F14" s="58" t="s">
        <v>114</v>
      </c>
      <c r="G14" s="59">
        <f>SUMIF(Tabela1[Mês],Tabela2[[#This Row],[Mês]],Tabela1[Valor])</f>
        <v>1165276.9899999986</v>
      </c>
      <c r="H14" s="60">
        <f>SUMIF(Tabela18[Mês],Tabela2[[#This Row],[Mês]],Tabela18[Valor])</f>
        <v>1723812.7700000012</v>
      </c>
      <c r="I14" s="76">
        <f>IFERROR((Tabela2[[#This Row],[25. Resultado]]/Tabela2[[#This Row],[24. Resultado]]),"")</f>
        <v>0.67598814110188876</v>
      </c>
      <c r="J14" s="61">
        <f>IFERROR((Tabela2[[#This Row],[25. Resultado]]/G13)-1,"")</f>
        <v>-0.16585460738385616</v>
      </c>
      <c r="L14" s="3" t="s">
        <v>123</v>
      </c>
      <c r="M14" s="4">
        <f>SUM(G10:G12)</f>
        <v>3728167.9999999991</v>
      </c>
      <c r="N14" s="4">
        <f>Tabela10[[#This Row],[24. Resultado]]</f>
        <v>3523581.93</v>
      </c>
      <c r="O14" s="7">
        <f>IFERROR(Tabela4[[#This Row],[25. Resultado]]/Tabela4[[#This Row],[24. Resultado]],"")</f>
        <v>1.0580619591269158</v>
      </c>
    </row>
    <row r="15" spans="1:15" ht="15.6" x14ac:dyDescent="0.3">
      <c r="A15" s="45" t="s">
        <v>13</v>
      </c>
      <c r="B15" s="14" t="s">
        <v>102</v>
      </c>
      <c r="C15" s="15">
        <v>28432.79</v>
      </c>
      <c r="D15" s="46">
        <v>1.7669000000000001E-2</v>
      </c>
      <c r="E15" s="36"/>
      <c r="F15" s="58" t="s">
        <v>115</v>
      </c>
      <c r="G15" s="59">
        <v>1287076.1100000001</v>
      </c>
      <c r="H15" s="60">
        <f>SUMIF(Tabela18[Mês],Tabela2[[#This Row],[Mês]],Tabela18[Valor])</f>
        <v>1487564.8700000006</v>
      </c>
      <c r="I15" s="76">
        <f>IFERROR((Tabela2[[#This Row],[25. Resultado]]/Tabela2[[#This Row],[24. Resultado]]),"")</f>
        <v>0.8652235179498422</v>
      </c>
      <c r="J15" s="61">
        <f>IFERROR((Tabela2[[#This Row],[25. Resultado]]/G14)-1,"")</f>
        <v>0.10452374932761832</v>
      </c>
      <c r="L15" s="3" t="s">
        <v>124</v>
      </c>
      <c r="M15" s="4">
        <f>SUM(G13:G15)</f>
        <v>3849324.1799999988</v>
      </c>
      <c r="N15" s="4">
        <f>Tabela10[[#This Row],[24. Resultado]]</f>
        <v>4599415.4200000018</v>
      </c>
      <c r="O15" s="7">
        <f>IFERROR(Tabela4[[#This Row],[25. Resultado]]/Tabela4[[#This Row],[24. Resultado]],"")</f>
        <v>0.83691596181151151</v>
      </c>
    </row>
    <row r="16" spans="1:15" ht="15.6" x14ac:dyDescent="0.3">
      <c r="A16" s="45" t="s">
        <v>14</v>
      </c>
      <c r="B16" s="14" t="s">
        <v>102</v>
      </c>
      <c r="C16" s="15">
        <v>26767.14</v>
      </c>
      <c r="D16" s="46">
        <v>1.6632999999999998E-2</v>
      </c>
      <c r="E16" s="36"/>
      <c r="M16" s="72">
        <f>SUM(M12:M15)</f>
        <v>16032049.419999998</v>
      </c>
      <c r="N16" s="73">
        <v>14587678.699999999</v>
      </c>
      <c r="O16" s="74">
        <f>M16/N16</f>
        <v>1.0990130609334026</v>
      </c>
    </row>
    <row r="17" spans="1:15" ht="15.6" x14ac:dyDescent="0.3">
      <c r="A17" s="45" t="s">
        <v>15</v>
      </c>
      <c r="B17" s="14" t="s">
        <v>102</v>
      </c>
      <c r="C17" s="15">
        <v>26524.6</v>
      </c>
      <c r="D17" s="46">
        <v>1.6483000000000001E-2</v>
      </c>
      <c r="E17" s="36"/>
    </row>
    <row r="18" spans="1:15" ht="15.6" x14ac:dyDescent="0.3">
      <c r="A18" s="45" t="s">
        <v>16</v>
      </c>
      <c r="B18" s="14" t="s">
        <v>102</v>
      </c>
      <c r="C18" s="15">
        <v>26378.97</v>
      </c>
      <c r="D18" s="46">
        <v>1.6392E-2</v>
      </c>
      <c r="E18" s="36"/>
      <c r="F18" s="86" t="s">
        <v>127</v>
      </c>
      <c r="G18" s="86"/>
      <c r="H18" s="86"/>
      <c r="I18" s="86"/>
      <c r="J18" s="86"/>
      <c r="L18" s="86" t="s">
        <v>128</v>
      </c>
      <c r="M18" s="86"/>
      <c r="N18" s="86"/>
      <c r="O18" s="86"/>
    </row>
    <row r="19" spans="1:15" ht="15.6" x14ac:dyDescent="0.3">
      <c r="A19" s="45" t="s">
        <v>17</v>
      </c>
      <c r="B19" s="14" t="s">
        <v>102</v>
      </c>
      <c r="C19" s="15">
        <v>25824.04</v>
      </c>
      <c r="D19" s="46">
        <v>1.6046999999999999E-2</v>
      </c>
      <c r="E19" s="36"/>
      <c r="F19" s="86"/>
      <c r="G19" s="86"/>
      <c r="H19" s="86"/>
      <c r="I19" s="86"/>
      <c r="J19" s="86"/>
      <c r="L19" s="86"/>
      <c r="M19" s="86"/>
      <c r="N19" s="86"/>
      <c r="O19" s="86"/>
    </row>
    <row r="20" spans="1:15" ht="15.6" x14ac:dyDescent="0.3">
      <c r="A20" s="45" t="s">
        <v>18</v>
      </c>
      <c r="B20" s="14" t="s">
        <v>102</v>
      </c>
      <c r="C20" s="15">
        <v>25359.279999999999</v>
      </c>
      <c r="D20" s="46">
        <v>1.5759000000000002E-2</v>
      </c>
      <c r="E20" s="36"/>
      <c r="L20" s="9" t="s">
        <v>129</v>
      </c>
      <c r="M20" s="34" t="s">
        <v>102</v>
      </c>
    </row>
    <row r="21" spans="1:15" ht="15.6" x14ac:dyDescent="0.3">
      <c r="A21" s="45" t="s">
        <v>19</v>
      </c>
      <c r="B21" s="14" t="s">
        <v>102</v>
      </c>
      <c r="C21" s="15">
        <v>18016.88</v>
      </c>
      <c r="D21" s="46">
        <v>1.1195999999999999E-2</v>
      </c>
      <c r="E21" s="36"/>
      <c r="F21" s="81" t="s">
        <v>150</v>
      </c>
      <c r="G21" s="32" t="s">
        <v>140</v>
      </c>
      <c r="H21" s="10" t="s">
        <v>141</v>
      </c>
      <c r="I21" s="11" t="s">
        <v>144</v>
      </c>
      <c r="J21" s="7"/>
      <c r="L21" s="12" t="s">
        <v>126</v>
      </c>
      <c r="M21" s="12" t="s">
        <v>140</v>
      </c>
      <c r="N21" s="12" t="s">
        <v>141</v>
      </c>
      <c r="O21" s="12" t="s">
        <v>144</v>
      </c>
    </row>
    <row r="22" spans="1:15" ht="15.6" x14ac:dyDescent="0.3">
      <c r="A22" s="45" t="s">
        <v>20</v>
      </c>
      <c r="B22" s="14" t="s">
        <v>102</v>
      </c>
      <c r="C22" s="15">
        <v>17160.86</v>
      </c>
      <c r="D22" s="46">
        <v>1.0664E-2</v>
      </c>
      <c r="E22" s="36"/>
      <c r="F22" s="77" t="s">
        <v>1</v>
      </c>
      <c r="G22" s="78">
        <v>2207826.35</v>
      </c>
      <c r="H22" s="78">
        <v>2242986.3199999998</v>
      </c>
      <c r="I22" s="79">
        <f>IFERROR(Tabela5[[#This Row],[25. Fat.]]/Tabela5[[#This Row],[24. Fat]],"")</f>
        <v>0.98432448308467624</v>
      </c>
      <c r="J22" s="7"/>
      <c r="L22" s="3" t="s">
        <v>0</v>
      </c>
      <c r="M22" s="5">
        <f>SUMIFS(Tabela1[Valor],Tabela1[Empresa],Tabela6[[#This Row],[Empresa]],Tabela1[Mês],$M$20)</f>
        <v>238283.02</v>
      </c>
      <c r="N22" s="5">
        <f>SUMIFS(Tabela18[Valor],Tabela18[Empresa],Tabela6[[#This Row],[Empresa]],Tabela18[Mês],'25. BANCO DE DADOS'!$M$20)</f>
        <v>264992.46000000002</v>
      </c>
      <c r="O22" s="7">
        <f>IFERROR(Tabela6[[#This Row],[25. Fat.]]/Tabela6[[#This Row],[24. Fat]],"")</f>
        <v>0.89920679252534197</v>
      </c>
    </row>
    <row r="23" spans="1:15" ht="15.6" x14ac:dyDescent="0.3">
      <c r="A23" s="45" t="s">
        <v>21</v>
      </c>
      <c r="B23" s="14" t="s">
        <v>102</v>
      </c>
      <c r="C23" s="15">
        <v>12955.07</v>
      </c>
      <c r="D23" s="46">
        <v>8.0499999999999999E-3</v>
      </c>
      <c r="E23" s="36"/>
      <c r="F23" s="77" t="s">
        <v>168</v>
      </c>
      <c r="G23" s="78">
        <v>1610592.55</v>
      </c>
      <c r="H23" s="78">
        <v>1890453.55</v>
      </c>
      <c r="I23" s="79">
        <f>IFERROR(Tabela5[[#This Row],[25. Fat.]]/Tabela5[[#This Row],[24. Fat]],"")</f>
        <v>0.85196092228767006</v>
      </c>
      <c r="J23" s="7"/>
      <c r="L23" s="3" t="s">
        <v>1</v>
      </c>
      <c r="M23" s="5">
        <f>SUMIFS(Tabela1[Valor],Tabela1[Empresa],Tabela6[[#This Row],[Empresa]],Tabela1[Mês],$M$20)</f>
        <v>228386.47</v>
      </c>
      <c r="N23" s="5">
        <f>SUMIFS(Tabela18[Valor],Tabela18[Empresa],Tabela6[[#This Row],[Empresa]],Tabela18[Mês],'25. BANCO DE DADOS'!$M$20)</f>
        <v>178015.29</v>
      </c>
      <c r="O23" s="7">
        <f>IFERROR(Tabela6[[#This Row],[25. Fat.]]/Tabela6[[#This Row],[24. Fat]],"")</f>
        <v>1.2829598513700704</v>
      </c>
    </row>
    <row r="24" spans="1:15" ht="15.6" x14ac:dyDescent="0.3">
      <c r="A24" s="45" t="s">
        <v>22</v>
      </c>
      <c r="B24" s="14" t="s">
        <v>102</v>
      </c>
      <c r="C24" s="15">
        <v>10457.98</v>
      </c>
      <c r="D24" s="46">
        <v>6.4990000000000004E-3</v>
      </c>
      <c r="E24" s="36"/>
      <c r="F24" s="77" t="s">
        <v>2</v>
      </c>
      <c r="G24" s="78">
        <v>1482113.69</v>
      </c>
      <c r="H24" s="78">
        <v>1569490.06</v>
      </c>
      <c r="I24" s="79">
        <f>IFERROR(Tabela5[[#This Row],[25. Fat.]]/Tabela5[[#This Row],[24. Fat]],"")</f>
        <v>0.94432817879713105</v>
      </c>
      <c r="J24" s="7"/>
      <c r="L24" s="3" t="s">
        <v>2</v>
      </c>
      <c r="M24" s="5">
        <f>SUMIFS(Tabela1[Valor],Tabela1[Empresa],Tabela6[[#This Row],[Empresa]],Tabela1[Mês],$M$20)</f>
        <v>194132.43</v>
      </c>
      <c r="N24" s="5">
        <f>SUMIFS(Tabela18[Valor],Tabela18[Empresa],Tabela6[[#This Row],[Empresa]],Tabela18[Mês],'25. BANCO DE DADOS'!$M$20)</f>
        <v>62739.65</v>
      </c>
      <c r="O24" s="7">
        <f>IFERROR(Tabela6[[#This Row],[25. Fat.]]/Tabela6[[#This Row],[24. Fat]],"")</f>
        <v>3.0942542714216605</v>
      </c>
    </row>
    <row r="25" spans="1:15" ht="15.6" x14ac:dyDescent="0.3">
      <c r="A25" s="45" t="s">
        <v>23</v>
      </c>
      <c r="B25" s="14" t="s">
        <v>102</v>
      </c>
      <c r="C25" s="15">
        <v>10448.66</v>
      </c>
      <c r="D25" s="46">
        <v>6.4929999999999996E-3</v>
      </c>
      <c r="E25" s="36"/>
      <c r="F25" s="77" t="s">
        <v>0</v>
      </c>
      <c r="G25" s="78">
        <v>1359487.06</v>
      </c>
      <c r="H25" s="78">
        <v>994873.55</v>
      </c>
      <c r="I25" s="80">
        <f>IFERROR(Tabela5[[#This Row],[25. Fat.]]/Tabela5[[#This Row],[24. Fat]],"")</f>
        <v>1.3664923145258008</v>
      </c>
      <c r="J25" s="7"/>
      <c r="L25" s="3" t="s">
        <v>3</v>
      </c>
      <c r="M25" s="5">
        <f>SUMIFS(Tabela1[Valor],Tabela1[Empresa],Tabela6[[#This Row],[Empresa]],Tabela1[Mês],$M$20)</f>
        <v>117865.18</v>
      </c>
      <c r="N25" s="5">
        <f>SUMIFS(Tabela18[Valor],Tabela18[Empresa],Tabela6[[#This Row],[Empresa]],Tabela18[Mês],'25. BANCO DE DADOS'!$M$20)</f>
        <v>0</v>
      </c>
      <c r="O25" s="7" t="str">
        <f>IFERROR(Tabela6[[#This Row],[25. Fat.]]/Tabela6[[#This Row],[24. Fat]],"")</f>
        <v/>
      </c>
    </row>
    <row r="26" spans="1:15" ht="15.6" x14ac:dyDescent="0.3">
      <c r="A26" s="45" t="s">
        <v>24</v>
      </c>
      <c r="B26" s="14" t="s">
        <v>102</v>
      </c>
      <c r="C26" s="15">
        <v>10427.27</v>
      </c>
      <c r="D26" s="46">
        <v>6.4800000000000005E-3</v>
      </c>
      <c r="E26" s="36"/>
      <c r="F26" s="77" t="s">
        <v>3</v>
      </c>
      <c r="G26" s="78">
        <v>966514.31</v>
      </c>
      <c r="H26" s="78">
        <v>961945.43</v>
      </c>
      <c r="I26" s="80">
        <f>IFERROR(Tabela5[[#This Row],[25. Fat.]]/Tabela5[[#This Row],[24. Fat]],"")</f>
        <v>1.0047496249345453</v>
      </c>
      <c r="J26" s="7"/>
      <c r="L26" s="3" t="s">
        <v>4</v>
      </c>
      <c r="M26" s="5">
        <f>SUMIFS(Tabela1[Valor],Tabela1[Empresa],Tabela6[[#This Row],[Empresa]],Tabela1[Mês],$M$20)</f>
        <v>83508.83</v>
      </c>
      <c r="N26" s="5">
        <f>SUMIFS(Tabela18[Valor],Tabela18[Empresa],Tabela6[[#This Row],[Empresa]],Tabela18[Mês],'25. BANCO DE DADOS'!$M$20)</f>
        <v>33300.42</v>
      </c>
      <c r="O26" s="7">
        <f>IFERROR(Tabela6[[#This Row],[25. Fat.]]/Tabela6[[#This Row],[24. Fat]],"")</f>
        <v>2.5077410435063583</v>
      </c>
    </row>
    <row r="27" spans="1:15" ht="15.6" x14ac:dyDescent="0.3">
      <c r="A27" s="45" t="s">
        <v>25</v>
      </c>
      <c r="B27" s="14" t="s">
        <v>102</v>
      </c>
      <c r="C27" s="15">
        <v>10180.219999999999</v>
      </c>
      <c r="D27" s="46">
        <v>6.3260000000000009E-3</v>
      </c>
      <c r="E27" s="36"/>
      <c r="F27" s="77" t="s">
        <v>6</v>
      </c>
      <c r="G27" s="78">
        <v>945728.26</v>
      </c>
      <c r="H27" s="78">
        <v>661745.48</v>
      </c>
      <c r="I27" s="80">
        <f>IFERROR(Tabela5[[#This Row],[25. Fat.]]/Tabela5[[#This Row],[24. Fat]],"")</f>
        <v>1.4291420018463896</v>
      </c>
      <c r="J27" s="7"/>
      <c r="L27" s="3" t="s">
        <v>5</v>
      </c>
      <c r="M27" s="5">
        <f>SUMIFS(Tabela1[Valor],Tabela1[Empresa],Tabela6[[#This Row],[Empresa]],Tabela1[Mês],$M$20)</f>
        <v>78899.45</v>
      </c>
      <c r="N27" s="5">
        <f>SUMIFS(Tabela18[Valor],Tabela18[Empresa],Tabela6[[#This Row],[Empresa]],Tabela18[Mês],'25. BANCO DE DADOS'!$M$20)</f>
        <v>15386.97</v>
      </c>
      <c r="O27" s="7">
        <f>IFERROR(Tabela6[[#This Row],[25. Fat.]]/Tabela6[[#This Row],[24. Fat]],"")</f>
        <v>5.1276794586588519</v>
      </c>
    </row>
    <row r="28" spans="1:15" ht="15.6" x14ac:dyDescent="0.3">
      <c r="A28" s="45" t="s">
        <v>26</v>
      </c>
      <c r="B28" s="14" t="s">
        <v>102</v>
      </c>
      <c r="C28" s="15">
        <v>8661.07</v>
      </c>
      <c r="D28" s="46">
        <v>5.3820000000000005E-3</v>
      </c>
      <c r="E28" s="36"/>
      <c r="F28" s="77" t="s">
        <v>8</v>
      </c>
      <c r="G28" s="78">
        <v>927288.18</v>
      </c>
      <c r="H28" s="78">
        <v>542161.1</v>
      </c>
      <c r="I28" s="80">
        <f>IFERROR(Tabela5[[#This Row],[25. Fat.]]/Tabela5[[#This Row],[24. Fat]],"")</f>
        <v>1.7103554275657182</v>
      </c>
      <c r="J28" s="7"/>
      <c r="L28" s="3" t="s">
        <v>6</v>
      </c>
      <c r="M28" s="5">
        <f>SUMIFS(Tabela1[Valor],Tabela1[Empresa],Tabela6[[#This Row],[Empresa]],Tabela1[Mês],$M$20)</f>
        <v>68680.41</v>
      </c>
      <c r="N28" s="5">
        <f>SUMIFS(Tabela18[Valor],Tabela18[Empresa],Tabela6[[#This Row],[Empresa]],Tabela18[Mês],'25. BANCO DE DADOS'!$M$20)</f>
        <v>0</v>
      </c>
      <c r="O28" s="7" t="str">
        <f>IFERROR(Tabela6[[#This Row],[25. Fat.]]/Tabela6[[#This Row],[24. Fat]],"")</f>
        <v/>
      </c>
    </row>
    <row r="29" spans="1:15" ht="15.6" x14ac:dyDescent="0.3">
      <c r="A29" s="45" t="s">
        <v>27</v>
      </c>
      <c r="B29" s="14" t="s">
        <v>102</v>
      </c>
      <c r="C29" s="15">
        <v>7848.39</v>
      </c>
      <c r="D29" s="46">
        <v>4.8770000000000003E-3</v>
      </c>
      <c r="E29" s="36"/>
      <c r="F29" s="77" t="s">
        <v>7</v>
      </c>
      <c r="G29" s="78">
        <v>433688.25</v>
      </c>
      <c r="H29" s="78">
        <v>513811.94</v>
      </c>
      <c r="I29" s="79">
        <f>IFERROR(Tabela5[[#This Row],[25. Fat.]]/Tabela5[[#This Row],[24. Fat]],"")</f>
        <v>0.84406028010948908</v>
      </c>
      <c r="J29" s="7"/>
      <c r="L29" s="3" t="s">
        <v>7</v>
      </c>
      <c r="M29" s="5">
        <f>SUMIFS(Tabela1[Valor],Tabela1[Empresa],Tabela6[[#This Row],[Empresa]],Tabela1[Mês],$M$20)</f>
        <v>51024.92</v>
      </c>
      <c r="N29" s="5">
        <v>90850.6</v>
      </c>
      <c r="O29" s="7">
        <f>IFERROR(Tabela6[[#This Row],[25. Fat.]]/Tabela6[[#This Row],[24. Fat]],"")</f>
        <v>0.56163547626542909</v>
      </c>
    </row>
    <row r="30" spans="1:15" ht="15.6" x14ac:dyDescent="0.3">
      <c r="A30" s="45" t="s">
        <v>28</v>
      </c>
      <c r="B30" s="14" t="s">
        <v>102</v>
      </c>
      <c r="C30" s="15">
        <v>7165.02</v>
      </c>
      <c r="D30" s="46">
        <v>4.4520000000000002E-3</v>
      </c>
      <c r="E30" s="36"/>
      <c r="F30" s="77" t="s">
        <v>12</v>
      </c>
      <c r="G30" s="78">
        <v>394497.77</v>
      </c>
      <c r="H30" s="78">
        <v>490458.54</v>
      </c>
      <c r="I30" s="79">
        <f>IFERROR(Tabela5[[#This Row],[25. Fat.]]/Tabela5[[#This Row],[24. Fat]],"")</f>
        <v>0.80434478722707126</v>
      </c>
      <c r="J30" s="7"/>
      <c r="L30" s="3" t="s">
        <v>8</v>
      </c>
      <c r="M30" s="5">
        <f>SUMIFS(Tabela1[Valor],Tabela1[Empresa],Tabela6[[#This Row],[Empresa]],Tabela1[Mês],$M$20)</f>
        <v>49910.54</v>
      </c>
      <c r="N30" s="5">
        <f>SUMIFS(Tabela18[Valor],Tabela18[Empresa],Tabela6[[#This Row],[Empresa]],Tabela18[Mês],'25. BANCO DE DADOS'!$M$20)</f>
        <v>105525.19</v>
      </c>
      <c r="O30" s="7">
        <f>IFERROR(Tabela6[[#This Row],[25. Fat.]]/Tabela6[[#This Row],[24. Fat]],"")</f>
        <v>0.47297275655225068</v>
      </c>
    </row>
    <row r="31" spans="1:15" ht="15.6" x14ac:dyDescent="0.3">
      <c r="A31" s="45" t="s">
        <v>29</v>
      </c>
      <c r="B31" s="14" t="s">
        <v>102</v>
      </c>
      <c r="C31" s="15">
        <v>7008.02</v>
      </c>
      <c r="D31" s="46">
        <v>4.3550000000000004E-3</v>
      </c>
      <c r="E31" s="36"/>
      <c r="F31" s="77" t="s">
        <v>10</v>
      </c>
      <c r="G31" s="78">
        <v>387173.28</v>
      </c>
      <c r="H31" s="78">
        <v>409504.38</v>
      </c>
      <c r="I31" s="79">
        <f>IFERROR(Tabela5[[#This Row],[25. Fat.]]/Tabela5[[#This Row],[24. Fat]],"")</f>
        <v>0.9454679825402601</v>
      </c>
      <c r="J31" s="7"/>
      <c r="L31" s="3" t="s">
        <v>9</v>
      </c>
      <c r="M31" s="5">
        <f>SUMIFS(Tabela1[Valor],Tabela1[Empresa],Tabela6[[#This Row],[Empresa]],Tabela1[Mês],$M$20)</f>
        <v>45398</v>
      </c>
      <c r="N31" s="5">
        <f>SUMIFS(Tabela18[Valor],Tabela18[Empresa],Tabela6[[#This Row],[Empresa]],Tabela18[Mês],'25. BANCO DE DADOS'!$M$20)</f>
        <v>78203.14</v>
      </c>
      <c r="O31" s="7">
        <f>IFERROR(Tabela6[[#This Row],[25. Fat.]]/Tabela6[[#This Row],[24. Fat]],"")</f>
        <v>0.58051377476658861</v>
      </c>
    </row>
    <row r="32" spans="1:15" ht="15.6" x14ac:dyDescent="0.3">
      <c r="A32" s="45" t="s">
        <v>30</v>
      </c>
      <c r="B32" s="14" t="s">
        <v>102</v>
      </c>
      <c r="C32" s="15">
        <v>5117.7299999999996</v>
      </c>
      <c r="D32" s="46">
        <v>3.1800000000000001E-3</v>
      </c>
      <c r="E32" s="36"/>
      <c r="F32" s="77" t="s">
        <v>9</v>
      </c>
      <c r="G32" s="78">
        <v>367568.47</v>
      </c>
      <c r="H32" s="78">
        <v>402078.19</v>
      </c>
      <c r="I32" s="82">
        <f>IFERROR(Tabela5[[#This Row],[25. Fat.]]/Tabela5[[#This Row],[24. Fat]],"")</f>
        <v>0.91417161920670198</v>
      </c>
      <c r="J32" s="7"/>
      <c r="L32" s="3" t="s">
        <v>10</v>
      </c>
      <c r="M32" s="5">
        <f>SUMIFS(Tabela1[Valor],Tabela1[Empresa],Tabela6[[#This Row],[Empresa]],Tabela1[Mês],$M$20)</f>
        <v>38192.04</v>
      </c>
      <c r="N32" s="5">
        <f>SUMIFS(Tabela18[Valor],Tabela18[Empresa],Tabela6[[#This Row],[Empresa]],Tabela18[Mês],'25. BANCO DE DADOS'!$M$20)</f>
        <v>11472.63</v>
      </c>
      <c r="O32" s="7">
        <f>IFERROR(Tabela6[[#This Row],[25. Fat.]]/Tabela6[[#This Row],[24. Fat]],"")</f>
        <v>3.3289699048953905</v>
      </c>
    </row>
    <row r="33" spans="1:15" ht="15.6" x14ac:dyDescent="0.3">
      <c r="A33" s="45" t="s">
        <v>31</v>
      </c>
      <c r="B33" s="14" t="s">
        <v>102</v>
      </c>
      <c r="C33" s="15">
        <v>4852.97</v>
      </c>
      <c r="D33" s="46">
        <v>3.0159999999999996E-3</v>
      </c>
      <c r="E33" s="36"/>
      <c r="F33" s="77" t="s">
        <v>15</v>
      </c>
      <c r="G33" s="78">
        <v>345664.83</v>
      </c>
      <c r="H33" s="78">
        <v>362256.1</v>
      </c>
      <c r="I33" s="82">
        <f>IFERROR(Tabela5[[#This Row],[25. Fat.]]/Tabela5[[#This Row],[24. Fat]],"")</f>
        <v>0.95420016391718465</v>
      </c>
      <c r="J33" s="7"/>
      <c r="L33" s="3" t="s">
        <v>11</v>
      </c>
      <c r="M33" s="5">
        <f>SUMIFS(Tabela1[Valor],Tabela1[Empresa],Tabela6[[#This Row],[Empresa]],Tabela1[Mês],$M$20)</f>
        <v>30632.61</v>
      </c>
      <c r="N33" s="5">
        <f>SUMIFS(Tabela18[Valor],Tabela18[Empresa],Tabela6[[#This Row],[Empresa]],Tabela18[Mês],'25. BANCO DE DADOS'!$M$20)</f>
        <v>13120.38</v>
      </c>
      <c r="O33" s="7">
        <f>IFERROR(Tabela6[[#This Row],[25. Fat.]]/Tabela6[[#This Row],[24. Fat]],"")</f>
        <v>2.3347349695664303</v>
      </c>
    </row>
    <row r="34" spans="1:15" ht="15.6" x14ac:dyDescent="0.3">
      <c r="A34" s="45" t="s">
        <v>32</v>
      </c>
      <c r="B34" s="14" t="s">
        <v>102</v>
      </c>
      <c r="C34" s="15">
        <v>4750.75</v>
      </c>
      <c r="D34" s="46">
        <v>2.9520000000000002E-3</v>
      </c>
      <c r="E34" s="36"/>
      <c r="F34" s="77" t="s">
        <v>20</v>
      </c>
      <c r="G34" s="78">
        <v>333908.59999999998</v>
      </c>
      <c r="H34" s="78">
        <v>355143.66</v>
      </c>
      <c r="I34" s="83">
        <f>IFERROR(Tabela5[[#This Row],[25. Fat.]]/Tabela5[[#This Row],[24. Fat]],"")</f>
        <v>0.94020712632178205</v>
      </c>
      <c r="J34" s="7"/>
      <c r="L34" s="3" t="s">
        <v>12</v>
      </c>
      <c r="M34" s="5">
        <f>SUMIFS(Tabela1[Valor],Tabela1[Empresa],Tabela6[[#This Row],[Empresa]],Tabela1[Mês],$M$20)</f>
        <v>30578.75</v>
      </c>
      <c r="N34" s="5">
        <f>SUMIFS(Tabela18[Valor],Tabela18[Empresa],Tabela6[[#This Row],[Empresa]],Tabela18[Mês],'25. BANCO DE DADOS'!$M$20)</f>
        <v>37124.160000000003</v>
      </c>
      <c r="O34" s="7">
        <f>IFERROR(Tabela6[[#This Row],[25. Fat.]]/Tabela6[[#This Row],[24. Fat]],"")</f>
        <v>0.82368867066621831</v>
      </c>
    </row>
    <row r="35" spans="1:15" ht="15.6" x14ac:dyDescent="0.3">
      <c r="A35" s="45" t="s">
        <v>33</v>
      </c>
      <c r="B35" s="14" t="s">
        <v>102</v>
      </c>
      <c r="C35" s="15">
        <v>4481.38</v>
      </c>
      <c r="D35" s="46">
        <v>2.7850000000000001E-3</v>
      </c>
      <c r="E35" s="36"/>
      <c r="F35" s="77" t="s">
        <v>16</v>
      </c>
      <c r="G35" s="78">
        <v>320079.12</v>
      </c>
      <c r="H35" s="78">
        <v>343913.59</v>
      </c>
      <c r="I35" s="83">
        <f>IFERROR(Tabela5[[#This Row],[25. Fat.]]/Tabela5[[#This Row],[24. Fat]],"")</f>
        <v>0.93069634148508051</v>
      </c>
      <c r="J35" s="7"/>
      <c r="L35" s="3" t="s">
        <v>13</v>
      </c>
      <c r="M35" s="5">
        <f>SUMIFS(Tabela1[Valor],Tabela1[Empresa],Tabela6[[#This Row],[Empresa]],Tabela1[Mês],$M$20)</f>
        <v>28432.79</v>
      </c>
      <c r="N35" s="5">
        <f>SUMIFS(Tabela18[Valor],Tabela18[Empresa],Tabela6[[#This Row],[Empresa]],Tabela18[Mês],'25. BANCO DE DADOS'!$M$20)</f>
        <v>0</v>
      </c>
      <c r="O35" s="7" t="str">
        <f>IFERROR(Tabela6[[#This Row],[25. Fat.]]/Tabela6[[#This Row],[24. Fat]],"")</f>
        <v/>
      </c>
    </row>
    <row r="36" spans="1:15" ht="15.6" x14ac:dyDescent="0.3">
      <c r="A36" s="45" t="s">
        <v>34</v>
      </c>
      <c r="B36" s="14" t="s">
        <v>102</v>
      </c>
      <c r="C36" s="15">
        <v>4352.6099999999997</v>
      </c>
      <c r="D36" s="46">
        <v>2.7050000000000004E-3</v>
      </c>
      <c r="E36" s="36"/>
      <c r="F36" s="77" t="s">
        <v>5</v>
      </c>
      <c r="G36" s="78">
        <v>318617.12</v>
      </c>
      <c r="H36" s="78">
        <v>227756.18</v>
      </c>
      <c r="I36" s="83">
        <f>IFERROR(Tabela5[[#This Row],[25. Fat.]]/Tabela5[[#This Row],[24. Fat]],"")</f>
        <v>1.398939515055091</v>
      </c>
      <c r="J36" s="7"/>
      <c r="L36" s="3" t="s">
        <v>14</v>
      </c>
      <c r="M36" s="5">
        <f>SUMIFS(Tabela1[Valor],Tabela1[Empresa],Tabela6[[#This Row],[Empresa]],Tabela1[Mês],$M$20)</f>
        <v>26767.14</v>
      </c>
      <c r="N36" s="5">
        <f>SUMIFS(Tabela18[Valor],Tabela18[Empresa],Tabela6[[#This Row],[Empresa]],Tabela18[Mês],'25. BANCO DE DADOS'!$M$20)</f>
        <v>5546.26</v>
      </c>
      <c r="O36" s="7">
        <f>IFERROR(Tabela6[[#This Row],[25. Fat.]]/Tabela6[[#This Row],[24. Fat]],"")</f>
        <v>4.8261603314666095</v>
      </c>
    </row>
    <row r="37" spans="1:15" ht="15.6" x14ac:dyDescent="0.3">
      <c r="A37" s="45" t="s">
        <v>35</v>
      </c>
      <c r="B37" s="14" t="s">
        <v>102</v>
      </c>
      <c r="C37" s="15">
        <v>4215.4399999999996</v>
      </c>
      <c r="D37" s="46">
        <v>2.6199999999999999E-3</v>
      </c>
      <c r="E37" s="36"/>
      <c r="F37" s="77" t="s">
        <v>11</v>
      </c>
      <c r="G37" s="78">
        <v>305166.81</v>
      </c>
      <c r="H37" s="78">
        <v>190948.18</v>
      </c>
      <c r="I37" s="83">
        <f>IFERROR(Tabela5[[#This Row],[25. Fat.]]/Tabela5[[#This Row],[24. Fat]],"")</f>
        <v>1.5981655860768089</v>
      </c>
      <c r="J37" s="7"/>
      <c r="L37" s="3" t="s">
        <v>15</v>
      </c>
      <c r="M37" s="5">
        <f>SUMIFS(Tabela1[Valor],Tabela1[Empresa],Tabela6[[#This Row],[Empresa]],Tabela1[Mês],$M$20)</f>
        <v>26524.6</v>
      </c>
      <c r="N37" s="5">
        <f>SUMIFS(Tabela18[Valor],Tabela18[Empresa],Tabela6[[#This Row],[Empresa]],Tabela18[Mês],'25. BANCO DE DADOS'!$M$20)</f>
        <v>13213.33</v>
      </c>
      <c r="O37" s="7">
        <f>IFERROR(Tabela6[[#This Row],[25. Fat.]]/Tabela6[[#This Row],[24. Fat]],"")</f>
        <v>2.0074122117588828</v>
      </c>
    </row>
    <row r="38" spans="1:15" ht="15.6" x14ac:dyDescent="0.3">
      <c r="A38" s="45" t="s">
        <v>36</v>
      </c>
      <c r="B38" s="14" t="s">
        <v>102</v>
      </c>
      <c r="C38" s="15">
        <v>3845.04</v>
      </c>
      <c r="D38" s="46">
        <v>2.3890000000000001E-3</v>
      </c>
      <c r="E38" s="36"/>
      <c r="F38" s="77" t="s">
        <v>13</v>
      </c>
      <c r="G38" s="78">
        <v>304795.14</v>
      </c>
      <c r="H38" s="78">
        <v>163739.17000000001</v>
      </c>
      <c r="I38" s="83">
        <f>IFERROR(Tabela5[[#This Row],[25. Fat.]]/Tabela5[[#This Row],[24. Fat]],"")</f>
        <v>1.8614674790399877</v>
      </c>
      <c r="J38" s="7"/>
      <c r="L38" s="3" t="s">
        <v>16</v>
      </c>
      <c r="M38" s="5">
        <f>SUMIFS(Tabela1[Valor],Tabela1[Empresa],Tabela6[[#This Row],[Empresa]],Tabela1[Mês],$M$20)</f>
        <v>26378.97</v>
      </c>
      <c r="N38" s="5">
        <f>SUMIFS(Tabela18[Valor],Tabela18[Empresa],Tabela6[[#This Row],[Empresa]],Tabela18[Mês],'25. BANCO DE DADOS'!$M$20)</f>
        <v>8099</v>
      </c>
      <c r="O38" s="7">
        <f>IFERROR(Tabela6[[#This Row],[25. Fat.]]/Tabela6[[#This Row],[24. Fat]],"")</f>
        <v>3.257065069761699</v>
      </c>
    </row>
    <row r="39" spans="1:15" ht="15.6" x14ac:dyDescent="0.3">
      <c r="A39" s="45" t="s">
        <v>37</v>
      </c>
      <c r="B39" s="14" t="s">
        <v>102</v>
      </c>
      <c r="C39" s="15">
        <v>3232.97</v>
      </c>
      <c r="D39" s="46">
        <v>2.0089999999999999E-3</v>
      </c>
      <c r="E39" s="36"/>
      <c r="F39" s="77" t="s">
        <v>14</v>
      </c>
      <c r="G39" s="78">
        <v>295326.36</v>
      </c>
      <c r="H39" s="78">
        <v>97668.37</v>
      </c>
      <c r="I39" s="83">
        <f>IFERROR(Tabela5[[#This Row],[25. Fat.]]/Tabela5[[#This Row],[24. Fat]],"")</f>
        <v>3.0237666503495451</v>
      </c>
      <c r="J39" s="7"/>
      <c r="L39" s="3" t="s">
        <v>17</v>
      </c>
      <c r="M39" s="5">
        <f>SUMIFS(Tabela1[Valor],Tabela1[Empresa],Tabela6[[#This Row],[Empresa]],Tabela1[Mês],$M$20)</f>
        <v>25824.04</v>
      </c>
      <c r="N39" s="5">
        <f>SUMIFS(Tabela18[Valor],Tabela18[Empresa],Tabela6[[#This Row],[Empresa]],Tabela18[Mês],'25. BANCO DE DADOS'!$M$20)</f>
        <v>44556.61</v>
      </c>
      <c r="O39" s="7">
        <f>IFERROR(Tabela6[[#This Row],[25. Fat.]]/Tabela6[[#This Row],[24. Fat]],"")</f>
        <v>0.57957820399711735</v>
      </c>
    </row>
    <row r="40" spans="1:15" ht="15.6" x14ac:dyDescent="0.3">
      <c r="A40" s="45" t="s">
        <v>38</v>
      </c>
      <c r="B40" s="14" t="s">
        <v>102</v>
      </c>
      <c r="C40" s="15">
        <v>2993.08</v>
      </c>
      <c r="D40" s="46">
        <v>1.8599999999999999E-3</v>
      </c>
      <c r="E40" s="36"/>
      <c r="F40" s="77" t="s">
        <v>17</v>
      </c>
      <c r="G40" s="78">
        <v>213676.22</v>
      </c>
      <c r="H40" s="78">
        <v>92178.42</v>
      </c>
      <c r="I40" s="83">
        <f>IFERROR(Tabela5[[#This Row],[25. Fat.]]/Tabela5[[#This Row],[24. Fat]],"")</f>
        <v>2.3180720606840519</v>
      </c>
      <c r="J40" s="7"/>
      <c r="L40" s="3" t="s">
        <v>18</v>
      </c>
      <c r="M40" s="5">
        <f>SUMIFS(Tabela1[Valor],Tabela1[Empresa],Tabela6[[#This Row],[Empresa]],Tabela1[Mês],$M$20)</f>
        <v>25359.279999999999</v>
      </c>
      <c r="N40" s="5">
        <f>SUMIFS(Tabela18[Valor],Tabela18[Empresa],Tabela6[[#This Row],[Empresa]],Tabela18[Mês],'25. BANCO DE DADOS'!$M$20)</f>
        <v>5949.22</v>
      </c>
      <c r="O40" s="7">
        <f>IFERROR(Tabela6[[#This Row],[25. Fat.]]/Tabela6[[#This Row],[24. Fat]],"")</f>
        <v>4.2626226631390329</v>
      </c>
    </row>
    <row r="41" spans="1:15" ht="15.6" x14ac:dyDescent="0.3">
      <c r="A41" s="45" t="s">
        <v>39</v>
      </c>
      <c r="B41" s="14" t="s">
        <v>102</v>
      </c>
      <c r="C41" s="15">
        <v>2856.44</v>
      </c>
      <c r="D41" s="46">
        <v>1.7749999999999999E-3</v>
      </c>
      <c r="E41" s="36"/>
      <c r="F41" s="77" t="s">
        <v>146</v>
      </c>
      <c r="G41" s="78">
        <v>164429.09</v>
      </c>
      <c r="H41" s="78">
        <v>90850.6</v>
      </c>
      <c r="I41" s="83">
        <f>IFERROR(Tabela5[[#This Row],[25. Fat.]]/Tabela5[[#This Row],[24. Fat]],"")</f>
        <v>1.809884469667784</v>
      </c>
      <c r="J41" s="7"/>
      <c r="L41" s="3" t="s">
        <v>19</v>
      </c>
      <c r="M41" s="5">
        <f>SUMIFS(Tabela1[Valor],Tabela1[Empresa],Tabela6[[#This Row],[Empresa]],Tabela1[Mês],$M$20)</f>
        <v>18016.88</v>
      </c>
      <c r="N41" s="5">
        <f>SUMIFS(Tabela18[Valor],Tabela18[Empresa],Tabela6[[#This Row],[Empresa]],Tabela18[Mês],'25. BANCO DE DADOS'!$M$20)</f>
        <v>0</v>
      </c>
      <c r="O41" s="7" t="str">
        <f>IFERROR(Tabela6[[#This Row],[25. Fat.]]/Tabela6[[#This Row],[24. Fat]],"")</f>
        <v/>
      </c>
    </row>
    <row r="42" spans="1:15" ht="15.6" x14ac:dyDescent="0.3">
      <c r="A42" s="45" t="s">
        <v>40</v>
      </c>
      <c r="B42" s="14" t="s">
        <v>102</v>
      </c>
      <c r="C42" s="15">
        <v>2461.98</v>
      </c>
      <c r="D42" s="46">
        <v>1.5299999999999999E-3</v>
      </c>
      <c r="E42" s="36"/>
      <c r="F42" s="77" t="s">
        <v>160</v>
      </c>
      <c r="G42" s="78">
        <v>145387.47</v>
      </c>
      <c r="H42" s="78">
        <v>90762.75</v>
      </c>
      <c r="I42" s="83">
        <f>IFERROR(Tabela5[[#This Row],[25. Fat.]]/Tabela5[[#This Row],[24. Fat]],"")</f>
        <v>1.6018407331201401</v>
      </c>
      <c r="J42" s="7"/>
      <c r="L42" s="3" t="s">
        <v>20</v>
      </c>
      <c r="M42" s="5">
        <f>SUMIFS(Tabela1[Valor],Tabela1[Empresa],Tabela6[[#This Row],[Empresa]],Tabela1[Mês],$M$20)</f>
        <v>17160.86</v>
      </c>
      <c r="N42" s="5">
        <f>SUMIFS(Tabela18[Valor],Tabela18[Empresa],Tabela6[[#This Row],[Empresa]],Tabela18[Mês],'25. BANCO DE DADOS'!$M$20)</f>
        <v>0</v>
      </c>
      <c r="O42" s="7" t="str">
        <f>IFERROR(Tabela6[[#This Row],[25. Fat.]]/Tabela6[[#This Row],[24. Fat]],"")</f>
        <v/>
      </c>
    </row>
    <row r="43" spans="1:15" ht="15.6" x14ac:dyDescent="0.3">
      <c r="A43" s="45" t="s">
        <v>41</v>
      </c>
      <c r="B43" s="14" t="s">
        <v>102</v>
      </c>
      <c r="C43" s="15">
        <v>2346.42</v>
      </c>
      <c r="D43" s="46">
        <v>1.4580000000000001E-3</v>
      </c>
      <c r="E43" s="36"/>
      <c r="F43" s="77" t="s">
        <v>19</v>
      </c>
      <c r="G43" s="78">
        <v>131827.54</v>
      </c>
      <c r="H43" s="78">
        <v>89796.17</v>
      </c>
      <c r="I43" s="83">
        <f>IFERROR(Tabela5[[#This Row],[25. Fat.]]/Tabela5[[#This Row],[24. Fat]],"")</f>
        <v>1.4680753087798735</v>
      </c>
      <c r="J43" s="7"/>
      <c r="L43" s="3" t="s">
        <v>21</v>
      </c>
      <c r="M43" s="5">
        <f>SUMIFS(Tabela1[Valor],Tabela1[Empresa],Tabela6[[#This Row],[Empresa]],Tabela1[Mês],$M$20)</f>
        <v>12955.07</v>
      </c>
      <c r="N43" s="5">
        <f>SUMIFS(Tabela18[Valor],Tabela18[Empresa],Tabela6[[#This Row],[Empresa]],Tabela18[Mês],'25. BANCO DE DADOS'!$M$20)</f>
        <v>3350</v>
      </c>
      <c r="O43" s="7">
        <f>IFERROR(Tabela6[[#This Row],[25. Fat.]]/Tabela6[[#This Row],[24. Fat]],"")</f>
        <v>3.8671850746268657</v>
      </c>
    </row>
    <row r="44" spans="1:15" ht="15.6" x14ac:dyDescent="0.3">
      <c r="A44" s="45" t="s">
        <v>42</v>
      </c>
      <c r="B44" s="14" t="s">
        <v>102</v>
      </c>
      <c r="C44" s="15">
        <v>2344.7399999999998</v>
      </c>
      <c r="D44" s="46">
        <v>1.457E-3</v>
      </c>
      <c r="E44" s="36"/>
      <c r="F44" s="77" t="s">
        <v>24</v>
      </c>
      <c r="G44" s="78">
        <v>103391.1</v>
      </c>
      <c r="H44" s="78">
        <v>84390.83</v>
      </c>
      <c r="I44" s="83">
        <f>IFERROR(Tabela5[[#This Row],[25. Fat.]]/Tabela5[[#This Row],[24. Fat]],"")</f>
        <v>1.2251461444329912</v>
      </c>
      <c r="J44" s="7"/>
      <c r="L44" s="3" t="s">
        <v>22</v>
      </c>
      <c r="M44" s="5">
        <f>SUMIFS(Tabela1[Valor],Tabela1[Empresa],Tabela6[[#This Row],[Empresa]],Tabela1[Mês],$M$20)</f>
        <v>10457.98</v>
      </c>
      <c r="N44" s="5">
        <f>SUMIFS(Tabela18[Valor],Tabela18[Empresa],Tabela6[[#This Row],[Empresa]],Tabela18[Mês],'25. BANCO DE DADOS'!$M$20)</f>
        <v>249.6</v>
      </c>
      <c r="O44" s="7">
        <f>IFERROR(Tabela6[[#This Row],[25. Fat.]]/Tabela6[[#This Row],[24. Fat]],"")</f>
        <v>41.898958333333333</v>
      </c>
    </row>
    <row r="45" spans="1:15" ht="15.6" x14ac:dyDescent="0.3">
      <c r="A45" s="45" t="s">
        <v>43</v>
      </c>
      <c r="B45" s="14" t="s">
        <v>102</v>
      </c>
      <c r="C45" s="15">
        <v>2033.21</v>
      </c>
      <c r="D45" s="46">
        <v>1.263E-3</v>
      </c>
      <c r="E45" s="36"/>
      <c r="F45" s="77" t="s">
        <v>59</v>
      </c>
      <c r="G45" s="78">
        <v>101330.91</v>
      </c>
      <c r="H45" s="78">
        <v>74772.34</v>
      </c>
      <c r="I45" s="83">
        <f>IFERROR(Tabela5[[#This Row],[25. Fat.]]/Tabela5[[#This Row],[24. Fat]],"")</f>
        <v>1.3551924414830405</v>
      </c>
      <c r="J45" s="7"/>
      <c r="L45" s="3" t="s">
        <v>23</v>
      </c>
      <c r="M45" s="5">
        <f>SUMIFS(Tabela1[Valor],Tabela1[Empresa],Tabela6[[#This Row],[Empresa]],Tabela1[Mês],$M$20)</f>
        <v>10448.66</v>
      </c>
      <c r="N45" s="5">
        <f>SUMIFS(Tabela18[Valor],Tabela18[Empresa],Tabela6[[#This Row],[Empresa]],Tabela18[Mês],'25. BANCO DE DADOS'!$M$20)</f>
        <v>2161.75</v>
      </c>
      <c r="O45" s="7">
        <f>IFERROR(Tabela6[[#This Row],[25. Fat.]]/Tabela6[[#This Row],[24. Fat]],"")</f>
        <v>4.8334266219498092</v>
      </c>
    </row>
    <row r="46" spans="1:15" ht="15.6" x14ac:dyDescent="0.3">
      <c r="A46" s="45" t="s">
        <v>44</v>
      </c>
      <c r="B46" s="14" t="s">
        <v>102</v>
      </c>
      <c r="C46" s="15">
        <v>1923.5</v>
      </c>
      <c r="D46" s="46">
        <v>1.1949999999999999E-3</v>
      </c>
      <c r="E46" s="36"/>
      <c r="F46" s="77" t="s">
        <v>26</v>
      </c>
      <c r="G46" s="78">
        <v>99164.46</v>
      </c>
      <c r="H46" s="78">
        <v>52706.64</v>
      </c>
      <c r="I46" s="83">
        <f>IFERROR(Tabela5[[#This Row],[25. Fat.]]/Tabela5[[#This Row],[24. Fat]],"")</f>
        <v>1.8814415033855318</v>
      </c>
      <c r="J46" s="7"/>
      <c r="L46" s="3" t="s">
        <v>24</v>
      </c>
      <c r="M46" s="5">
        <f>SUMIFS(Tabela1[Valor],Tabela1[Empresa],Tabela6[[#This Row],[Empresa]],Tabela1[Mês],$M$20)</f>
        <v>10427.27</v>
      </c>
      <c r="N46" s="5">
        <f>SUMIFS(Tabela18[Valor],Tabela18[Empresa],Tabela6[[#This Row],[Empresa]],Tabela18[Mês],'25. BANCO DE DADOS'!$M$20)</f>
        <v>8781.89</v>
      </c>
      <c r="O46" s="7">
        <f>IFERROR(Tabela6[[#This Row],[25. Fat.]]/Tabela6[[#This Row],[24. Fat]],"")</f>
        <v>1.1873605795563371</v>
      </c>
    </row>
    <row r="47" spans="1:15" ht="15.6" x14ac:dyDescent="0.3">
      <c r="A47" s="45" t="s">
        <v>45</v>
      </c>
      <c r="B47" s="14" t="s">
        <v>102</v>
      </c>
      <c r="C47" s="15">
        <v>1491.77</v>
      </c>
      <c r="D47" s="46">
        <v>9.2700000000000009E-4</v>
      </c>
      <c r="E47" s="36"/>
      <c r="F47" s="77" t="s">
        <v>159</v>
      </c>
      <c r="G47" s="78">
        <v>88757.28</v>
      </c>
      <c r="H47" s="78">
        <v>49934.34</v>
      </c>
      <c r="I47" s="83">
        <f>IFERROR(Tabela5[[#This Row],[25. Fat.]]/Tabela5[[#This Row],[24. Fat]],"")</f>
        <v>1.7774797864555736</v>
      </c>
      <c r="J47" s="7"/>
      <c r="L47" s="3" t="s">
        <v>25</v>
      </c>
      <c r="M47" s="5">
        <f>SUMIFS(Tabela1[Valor],Tabela1[Empresa],Tabela6[[#This Row],[Empresa]],Tabela1[Mês],$M$20)</f>
        <v>10180.219999999999</v>
      </c>
      <c r="N47" s="5">
        <f>SUMIFS(Tabela18[Valor],Tabela18[Empresa],Tabela6[[#This Row],[Empresa]],Tabela18[Mês],'25. BANCO DE DADOS'!$M$20)</f>
        <v>0</v>
      </c>
      <c r="O47" s="7" t="str">
        <f>IFERROR(Tabela6[[#This Row],[25. Fat.]]/Tabela6[[#This Row],[24. Fat]],"")</f>
        <v/>
      </c>
    </row>
    <row r="48" spans="1:15" ht="15.6" x14ac:dyDescent="0.3">
      <c r="A48" s="45" t="s">
        <v>46</v>
      </c>
      <c r="B48" s="14" t="s">
        <v>102</v>
      </c>
      <c r="C48" s="15">
        <v>1404.72</v>
      </c>
      <c r="D48" s="46">
        <v>8.7300000000000008E-4</v>
      </c>
      <c r="E48" s="36"/>
      <c r="F48" s="77" t="s">
        <v>21</v>
      </c>
      <c r="G48" s="78">
        <v>77755.37</v>
      </c>
      <c r="H48" s="78">
        <v>45464.28</v>
      </c>
      <c r="I48" s="83">
        <f>IFERROR(Tabela5[[#This Row],[25. Fat.]]/Tabela5[[#This Row],[24. Fat]],"")</f>
        <v>1.7102518724589941</v>
      </c>
      <c r="J48" s="7"/>
      <c r="L48" s="3" t="s">
        <v>26</v>
      </c>
      <c r="M48" s="5">
        <f>SUMIFS(Tabela1[Valor],Tabela1[Empresa],Tabela6[[#This Row],[Empresa]],Tabela1[Mês],$M$20)</f>
        <v>8661.07</v>
      </c>
      <c r="N48" s="5">
        <f>SUMIFS(Tabela18[Valor],Tabela18[Empresa],Tabela6[[#This Row],[Empresa]],Tabela18[Mês],'25. BANCO DE DADOS'!$M$20)</f>
        <v>6748.76</v>
      </c>
      <c r="O48" s="7">
        <f>IFERROR(Tabela6[[#This Row],[25. Fat.]]/Tabela6[[#This Row],[24. Fat]],"")</f>
        <v>1.2833572389594532</v>
      </c>
    </row>
    <row r="49" spans="1:15" ht="15.6" x14ac:dyDescent="0.3">
      <c r="A49" s="45" t="s">
        <v>47</v>
      </c>
      <c r="B49" s="14" t="s">
        <v>102</v>
      </c>
      <c r="C49" s="15">
        <v>1363.56</v>
      </c>
      <c r="D49" s="46">
        <v>8.4699999999999999E-4</v>
      </c>
      <c r="E49" s="36"/>
      <c r="F49" s="77" t="s">
        <v>29</v>
      </c>
      <c r="G49" s="78">
        <v>68176.42</v>
      </c>
      <c r="H49" s="78">
        <v>44483.23</v>
      </c>
      <c r="I49" s="83">
        <f>IFERROR(Tabela5[[#This Row],[25. Fat.]]/Tabela5[[#This Row],[24. Fat]],"")</f>
        <v>1.5326319604039542</v>
      </c>
      <c r="J49" s="7"/>
      <c r="L49" s="3" t="s">
        <v>27</v>
      </c>
      <c r="M49" s="5">
        <f>SUMIFS(Tabela1[Valor],Tabela1[Empresa],Tabela6[[#This Row],[Empresa]],Tabela1[Mês],$M$20)</f>
        <v>7848.39</v>
      </c>
      <c r="N49" s="5">
        <f>SUMIFS(Tabela18[Valor],Tabela18[Empresa],Tabela6[[#This Row],[Empresa]],Tabela18[Mês],'25. BANCO DE DADOS'!$M$20)</f>
        <v>0</v>
      </c>
      <c r="O49" s="7" t="str">
        <f>IFERROR(Tabela6[[#This Row],[25. Fat.]]/Tabela6[[#This Row],[24. Fat]],"")</f>
        <v/>
      </c>
    </row>
    <row r="50" spans="1:15" ht="15.6" x14ac:dyDescent="0.3">
      <c r="A50" s="45" t="s">
        <v>48</v>
      </c>
      <c r="B50" s="14" t="s">
        <v>102</v>
      </c>
      <c r="C50" s="15">
        <v>1353.62</v>
      </c>
      <c r="D50" s="46">
        <v>8.4099999999999995E-4</v>
      </c>
      <c r="E50" s="36"/>
      <c r="F50" s="77" t="s">
        <v>30</v>
      </c>
      <c r="G50" s="78">
        <v>66360.94</v>
      </c>
      <c r="H50" s="78">
        <v>43263.59</v>
      </c>
      <c r="I50" s="83">
        <f>IFERROR(Tabela5[[#This Row],[25. Fat.]]/Tabela5[[#This Row],[24. Fat]],"")</f>
        <v>1.5338750205426781</v>
      </c>
      <c r="J50" s="7"/>
      <c r="L50" s="3" t="s">
        <v>28</v>
      </c>
      <c r="M50" s="5">
        <f>SUMIFS(Tabela1[Valor],Tabela1[Empresa],Tabela6[[#This Row],[Empresa]],Tabela1[Mês],$M$20)</f>
        <v>7165.02</v>
      </c>
      <c r="N50" s="5">
        <f>SUMIFS(Tabela18[Valor],Tabela18[Empresa],Tabela6[[#This Row],[Empresa]],Tabela18[Mês],'25. BANCO DE DADOS'!$M$20)</f>
        <v>774.42</v>
      </c>
      <c r="O50" s="7">
        <f>IFERROR(Tabela6[[#This Row],[25. Fat.]]/Tabela6[[#This Row],[24. Fat]],"")</f>
        <v>9.2521112574571944</v>
      </c>
    </row>
    <row r="51" spans="1:15" ht="15.6" x14ac:dyDescent="0.3">
      <c r="A51" s="45" t="s">
        <v>49</v>
      </c>
      <c r="B51" s="14" t="s">
        <v>102</v>
      </c>
      <c r="C51" s="15">
        <v>1342.28</v>
      </c>
      <c r="D51" s="46">
        <v>8.34E-4</v>
      </c>
      <c r="E51" s="36"/>
      <c r="F51" s="77" t="s">
        <v>145</v>
      </c>
      <c r="G51" s="78">
        <v>63887.21</v>
      </c>
      <c r="H51" s="78">
        <v>36909.19</v>
      </c>
      <c r="I51" s="83">
        <f>IFERROR(Tabela5[[#This Row],[25. Fat.]]/Tabela5[[#This Row],[24. Fat]],"")</f>
        <v>1.7309296140067012</v>
      </c>
      <c r="J51" s="7"/>
      <c r="L51" s="3" t="s">
        <v>29</v>
      </c>
      <c r="M51" s="5">
        <f>SUMIFS(Tabela1[Valor],Tabela1[Empresa],Tabela6[[#This Row],[Empresa]],Tabela1[Mês],$M$20)</f>
        <v>7008.02</v>
      </c>
      <c r="N51" s="5">
        <f>SUMIFS(Tabela18[Valor],Tabela18[Empresa],Tabela6[[#This Row],[Empresa]],Tabela18[Mês],'25. BANCO DE DADOS'!$M$20)</f>
        <v>6476.54</v>
      </c>
      <c r="O51" s="7">
        <f>IFERROR(Tabela6[[#This Row],[25. Fat.]]/Tabela6[[#This Row],[24. Fat]],"")</f>
        <v>1.0820623357533499</v>
      </c>
    </row>
    <row r="52" spans="1:15" ht="15.6" x14ac:dyDescent="0.3">
      <c r="A52" s="45" t="s">
        <v>50</v>
      </c>
      <c r="B52" s="14" t="s">
        <v>102</v>
      </c>
      <c r="C52" s="15">
        <v>1334.44</v>
      </c>
      <c r="D52" s="46">
        <v>8.2899999999999998E-4</v>
      </c>
      <c r="E52" s="36"/>
      <c r="F52" s="77" t="s">
        <v>25</v>
      </c>
      <c r="G52" s="78">
        <v>51087.34</v>
      </c>
      <c r="H52" s="78">
        <v>32008.05</v>
      </c>
      <c r="I52" s="83">
        <f>IFERROR(Tabela5[[#This Row],[25. Fat.]]/Tabela5[[#This Row],[24. Fat]],"")</f>
        <v>1.5960778616629254</v>
      </c>
      <c r="J52" s="7"/>
      <c r="L52" s="3" t="s">
        <v>30</v>
      </c>
      <c r="M52" s="5">
        <f>SUMIFS(Tabela1[Valor],Tabela1[Empresa],Tabela6[[#This Row],[Empresa]],Tabela1[Mês],$M$20)</f>
        <v>5117.7299999999996</v>
      </c>
      <c r="N52" s="5">
        <f>SUMIFS(Tabela18[Valor],Tabela18[Empresa],Tabela6[[#This Row],[Empresa]],Tabela18[Mês],'25. BANCO DE DADOS'!$M$20)</f>
        <v>4202.3100000000004</v>
      </c>
      <c r="O52" s="7">
        <f>IFERROR(Tabela6[[#This Row],[25. Fat.]]/Tabela6[[#This Row],[24. Fat]],"")</f>
        <v>1.2178373323243643</v>
      </c>
    </row>
    <row r="53" spans="1:15" ht="15.6" x14ac:dyDescent="0.3">
      <c r="A53" s="45" t="s">
        <v>51</v>
      </c>
      <c r="B53" s="14" t="s">
        <v>102</v>
      </c>
      <c r="C53" s="15">
        <v>1176.5999999999999</v>
      </c>
      <c r="D53" s="46">
        <v>7.3099999999999999E-4</v>
      </c>
      <c r="E53" s="36"/>
      <c r="F53" s="77" t="s">
        <v>38</v>
      </c>
      <c r="G53" s="78">
        <v>45290.75</v>
      </c>
      <c r="H53" s="78">
        <v>31700.73</v>
      </c>
      <c r="I53" s="83">
        <f>IFERROR(Tabela5[[#This Row],[25. Fat.]]/Tabela5[[#This Row],[24. Fat]],"")</f>
        <v>1.4286973833094696</v>
      </c>
      <c r="J53" s="7"/>
      <c r="L53" s="3" t="s">
        <v>31</v>
      </c>
      <c r="M53" s="5">
        <f>SUMIFS(Tabela1[Valor],Tabela1[Empresa],Tabela6[[#This Row],[Empresa]],Tabela1[Mês],$M$20)</f>
        <v>4852.97</v>
      </c>
      <c r="N53" s="5">
        <f>SUMIFS(Tabela18[Valor],Tabela18[Empresa],Tabela6[[#This Row],[Empresa]],Tabela18[Mês],'25. BANCO DE DADOS'!$M$20)</f>
        <v>0</v>
      </c>
      <c r="O53" s="7" t="str">
        <f>IFERROR(Tabela6[[#This Row],[25. Fat.]]/Tabela6[[#This Row],[24. Fat]],"")</f>
        <v/>
      </c>
    </row>
    <row r="54" spans="1:15" ht="15.6" x14ac:dyDescent="0.3">
      <c r="A54" s="45" t="s">
        <v>52</v>
      </c>
      <c r="B54" s="14" t="s">
        <v>102</v>
      </c>
      <c r="C54" s="15">
        <v>1083.02</v>
      </c>
      <c r="D54" s="46">
        <v>6.7299999999999999E-4</v>
      </c>
      <c r="E54" s="36"/>
      <c r="F54" s="77" t="s">
        <v>56</v>
      </c>
      <c r="G54" s="78">
        <v>41350.660000000003</v>
      </c>
      <c r="H54" s="78">
        <v>30965.19</v>
      </c>
      <c r="I54" s="83">
        <f>IFERROR(Tabela5[[#This Row],[25. Fat.]]/Tabela5[[#This Row],[24. Fat]],"")</f>
        <v>1.335391773795026</v>
      </c>
      <c r="J54" s="7"/>
      <c r="L54" s="3" t="s">
        <v>32</v>
      </c>
      <c r="M54" s="5">
        <f>SUMIFS(Tabela1[Valor],Tabela1[Empresa],Tabela6[[#This Row],[Empresa]],Tabela1[Mês],$M$20)</f>
        <v>4750.75</v>
      </c>
      <c r="N54" s="5">
        <f>SUMIFS(Tabela18[Valor],Tabela18[Empresa],Tabela6[[#This Row],[Empresa]],Tabela18[Mês],'25. BANCO DE DADOS'!$M$20)</f>
        <v>2065.63</v>
      </c>
      <c r="O54" s="7">
        <f>IFERROR(Tabela6[[#This Row],[25. Fat.]]/Tabela6[[#This Row],[24. Fat]],"")</f>
        <v>2.2999036613527108</v>
      </c>
    </row>
    <row r="55" spans="1:15" ht="15.6" x14ac:dyDescent="0.3">
      <c r="A55" s="45" t="s">
        <v>53</v>
      </c>
      <c r="B55" s="14" t="s">
        <v>102</v>
      </c>
      <c r="C55" s="15">
        <v>1023.4</v>
      </c>
      <c r="D55" s="46">
        <v>6.3600000000000006E-4</v>
      </c>
      <c r="E55" s="36"/>
      <c r="F55" s="77" t="s">
        <v>130</v>
      </c>
      <c r="G55" s="78">
        <v>39065.19</v>
      </c>
      <c r="H55" s="78">
        <v>24009.77</v>
      </c>
      <c r="I55" s="83">
        <f>IFERROR(Tabela5[[#This Row],[25. Fat.]]/Tabela5[[#This Row],[24. Fat]],"")</f>
        <v>1.627053903473461</v>
      </c>
      <c r="J55" s="7"/>
      <c r="L55" s="3" t="s">
        <v>33</v>
      </c>
      <c r="M55" s="5">
        <f>SUMIFS(Tabela1[Valor],Tabela1[Empresa],Tabela6[[#This Row],[Empresa]],Tabela1[Mês],$M$20)</f>
        <v>4481.38</v>
      </c>
      <c r="N55" s="5">
        <f>SUMIFS(Tabela18[Valor],Tabela18[Empresa],Tabela6[[#This Row],[Empresa]],Tabela18[Mês],'25. BANCO DE DADOS'!$M$20)</f>
        <v>778.6</v>
      </c>
      <c r="O55" s="7">
        <f>IFERROR(Tabela6[[#This Row],[25. Fat.]]/Tabela6[[#This Row],[24. Fat]],"")</f>
        <v>5.7556896994605706</v>
      </c>
    </row>
    <row r="56" spans="1:15" ht="15.6" x14ac:dyDescent="0.3">
      <c r="A56" s="45" t="s">
        <v>54</v>
      </c>
      <c r="B56" s="14" t="s">
        <v>102</v>
      </c>
      <c r="C56" s="15">
        <v>983.03</v>
      </c>
      <c r="D56" s="46">
        <v>6.11E-4</v>
      </c>
      <c r="E56" s="36"/>
      <c r="F56" s="77" t="s">
        <v>74</v>
      </c>
      <c r="G56" s="78">
        <v>38010.58</v>
      </c>
      <c r="H56" s="78">
        <v>21754.28</v>
      </c>
      <c r="I56" s="83">
        <f>IFERROR(Tabela5[[#This Row],[25. Fat.]]/Tabela5[[#This Row],[24. Fat]],"")</f>
        <v>1.7472690431492104</v>
      </c>
      <c r="J56" s="7"/>
      <c r="L56" s="3" t="s">
        <v>34</v>
      </c>
      <c r="M56" s="5">
        <f>SUMIFS(Tabela1[Valor],Tabela1[Empresa],Tabela6[[#This Row],[Empresa]],Tabela1[Mês],$M$20)</f>
        <v>4352.6099999999997</v>
      </c>
      <c r="N56" s="5">
        <f>SUMIFS(Tabela18[Valor],Tabela18[Empresa],Tabela6[[#This Row],[Empresa]],Tabela18[Mês],'25. BANCO DE DADOS'!$M$20)</f>
        <v>9664.02</v>
      </c>
      <c r="O56" s="7">
        <f>IFERROR(Tabela6[[#This Row],[25. Fat.]]/Tabela6[[#This Row],[24. Fat]],"")</f>
        <v>0.45039331458337206</v>
      </c>
    </row>
    <row r="57" spans="1:15" ht="15.6" x14ac:dyDescent="0.3">
      <c r="A57" s="45" t="s">
        <v>55</v>
      </c>
      <c r="B57" s="14" t="s">
        <v>102</v>
      </c>
      <c r="C57" s="15">
        <v>839.29</v>
      </c>
      <c r="D57" s="46">
        <v>5.22E-4</v>
      </c>
      <c r="E57" s="36"/>
      <c r="F57" s="77" t="s">
        <v>28</v>
      </c>
      <c r="G57" s="78">
        <v>35240.019999999997</v>
      </c>
      <c r="H57" s="78">
        <v>13543.23</v>
      </c>
      <c r="I57" s="83">
        <f>IFERROR(Tabela5[[#This Row],[25. Fat.]]/Tabela5[[#This Row],[24. Fat]],"")</f>
        <v>2.602039543004143</v>
      </c>
      <c r="J57" s="7"/>
      <c r="L57" s="3" t="s">
        <v>35</v>
      </c>
      <c r="M57" s="5">
        <f>SUMIFS(Tabela1[Valor],Tabela1[Empresa],Tabela6[[#This Row],[Empresa]],Tabela1[Mês],$M$20)</f>
        <v>4215.4399999999996</v>
      </c>
      <c r="N57" s="5">
        <f>SUMIFS(Tabela18[Valor],Tabela18[Empresa],Tabela6[[#This Row],[Empresa]],Tabela18[Mês],'25. BANCO DE DADOS'!$M$20)</f>
        <v>0</v>
      </c>
      <c r="O57" s="7" t="str">
        <f>IFERROR(Tabela6[[#This Row],[25. Fat.]]/Tabela6[[#This Row],[24. Fat]],"")</f>
        <v/>
      </c>
    </row>
    <row r="58" spans="1:15" ht="15.6" x14ac:dyDescent="0.3">
      <c r="A58" s="45" t="s">
        <v>56</v>
      </c>
      <c r="B58" s="14" t="s">
        <v>102</v>
      </c>
      <c r="C58" s="15">
        <v>805.14</v>
      </c>
      <c r="D58" s="46">
        <v>5.0000000000000001E-4</v>
      </c>
      <c r="E58" s="36"/>
      <c r="F58" s="77" t="s">
        <v>39</v>
      </c>
      <c r="G58" s="78">
        <v>33636.129999999997</v>
      </c>
      <c r="H58" s="78">
        <v>13393.09</v>
      </c>
      <c r="I58" s="83">
        <f>IFERROR(Tabela5[[#This Row],[25. Fat.]]/Tabela5[[#This Row],[24. Fat]],"")</f>
        <v>2.5114540408524095</v>
      </c>
      <c r="J58" s="7"/>
      <c r="L58" s="3" t="s">
        <v>36</v>
      </c>
      <c r="M58" s="5">
        <f>SUMIFS(Tabela1[Valor],Tabela1[Empresa],Tabela6[[#This Row],[Empresa]],Tabela1[Mês],$M$20)</f>
        <v>3845.04</v>
      </c>
      <c r="N58" s="5">
        <f>SUMIFS(Tabela18[Valor],Tabela18[Empresa],Tabela6[[#This Row],[Empresa]],Tabela18[Mês],'25. BANCO DE DADOS'!$M$20)</f>
        <v>0</v>
      </c>
      <c r="O58" s="7" t="str">
        <f>IFERROR(Tabela6[[#This Row],[25. Fat.]]/Tabela6[[#This Row],[24. Fat]],"")</f>
        <v/>
      </c>
    </row>
    <row r="59" spans="1:15" ht="15.6" x14ac:dyDescent="0.3">
      <c r="A59" s="45" t="s">
        <v>57</v>
      </c>
      <c r="B59" s="14" t="s">
        <v>102</v>
      </c>
      <c r="C59" s="15">
        <v>796.5</v>
      </c>
      <c r="D59" s="46">
        <v>4.95E-4</v>
      </c>
      <c r="E59" s="36"/>
      <c r="F59" s="77" t="s">
        <v>32</v>
      </c>
      <c r="G59" s="78">
        <v>32756.25</v>
      </c>
      <c r="H59" s="78">
        <v>12166.95</v>
      </c>
      <c r="I59" s="83">
        <f>IFERROR(Tabela5[[#This Row],[25. Fat.]]/Tabela5[[#This Row],[24. Fat]],"")</f>
        <v>2.6922318247383279</v>
      </c>
      <c r="J59" s="7"/>
      <c r="L59" s="3" t="s">
        <v>37</v>
      </c>
      <c r="M59" s="5">
        <f>SUMIFS(Tabela1[Valor],Tabela1[Empresa],Tabela6[[#This Row],[Empresa]],Tabela1[Mês],$M$20)</f>
        <v>3344.6299999999997</v>
      </c>
      <c r="N59" s="5">
        <f>SUMIFS(Tabela18[Valor],Tabela18[Empresa],Tabela6[[#This Row],[Empresa]],Tabela18[Mês],'25. BANCO DE DADOS'!$M$20)</f>
        <v>0</v>
      </c>
      <c r="O59" s="7" t="str">
        <f>IFERROR(Tabela6[[#This Row],[25. Fat.]]/Tabela6[[#This Row],[24. Fat]],"")</f>
        <v/>
      </c>
    </row>
    <row r="60" spans="1:15" ht="15.6" x14ac:dyDescent="0.3">
      <c r="A60" s="45" t="s">
        <v>58</v>
      </c>
      <c r="B60" s="14" t="s">
        <v>102</v>
      </c>
      <c r="C60" s="15">
        <v>753.88</v>
      </c>
      <c r="D60" s="46">
        <v>4.6799999999999999E-4</v>
      </c>
      <c r="E60" s="36"/>
      <c r="F60" s="77" t="s">
        <v>27</v>
      </c>
      <c r="G60" s="78">
        <v>30260.03</v>
      </c>
      <c r="H60" s="78">
        <v>11532.85</v>
      </c>
      <c r="I60" s="83">
        <f>IFERROR(Tabela5[[#This Row],[25. Fat.]]/Tabela5[[#This Row],[24. Fat]],"")</f>
        <v>2.623811980559879</v>
      </c>
      <c r="J60" s="7"/>
      <c r="L60" s="3" t="s">
        <v>38</v>
      </c>
      <c r="M60" s="5">
        <f>SUMIFS(Tabela1[Valor],Tabela1[Empresa],Tabela6[[#This Row],[Empresa]],Tabela1[Mês],$M$20)</f>
        <v>2993.08</v>
      </c>
      <c r="N60" s="5">
        <f>SUMIFS(Tabela18[Valor],Tabela18[Empresa],Tabela6[[#This Row],[Empresa]],Tabela18[Mês],'25. BANCO DE DADOS'!$M$20)</f>
        <v>1325.72</v>
      </c>
      <c r="O60" s="7">
        <f>IFERROR(Tabela6[[#This Row],[25. Fat.]]/Tabela6[[#This Row],[24. Fat]],"")</f>
        <v>2.2577014754246747</v>
      </c>
    </row>
    <row r="61" spans="1:15" ht="15.6" x14ac:dyDescent="0.3">
      <c r="A61" s="45" t="s">
        <v>59</v>
      </c>
      <c r="B61" s="14" t="s">
        <v>102</v>
      </c>
      <c r="C61" s="15">
        <v>666.79</v>
      </c>
      <c r="D61" s="46">
        <v>4.1399999999999998E-4</v>
      </c>
      <c r="E61" s="36"/>
      <c r="F61" s="77" t="s">
        <v>64</v>
      </c>
      <c r="G61" s="78">
        <v>26925.34</v>
      </c>
      <c r="H61" s="78">
        <v>10898.39</v>
      </c>
      <c r="I61" s="83">
        <f>IFERROR(Tabela5[[#This Row],[25. Fat.]]/Tabela5[[#This Row],[24. Fat]],"")</f>
        <v>2.4705795993720177</v>
      </c>
      <c r="J61" s="7"/>
      <c r="L61" s="3" t="s">
        <v>39</v>
      </c>
      <c r="M61" s="5">
        <f>SUMIFS(Tabela1[Valor],Tabela1[Empresa],Tabela6[[#This Row],[Empresa]],Tabela1[Mês],$M$20)</f>
        <v>2856.44</v>
      </c>
      <c r="N61" s="5">
        <f>SUMIFS(Tabela18[Valor],Tabela18[Empresa],Tabela6[[#This Row],[Empresa]],Tabela18[Mês],'25. BANCO DE DADOS'!$M$20)</f>
        <v>3403.51</v>
      </c>
      <c r="O61" s="7">
        <f>IFERROR(Tabela6[[#This Row],[25. Fat.]]/Tabela6[[#This Row],[24. Fat]],"")</f>
        <v>0.83926299614221789</v>
      </c>
    </row>
    <row r="62" spans="1:15" ht="15.6" x14ac:dyDescent="0.3">
      <c r="A62" s="45" t="s">
        <v>60</v>
      </c>
      <c r="B62" s="14" t="s">
        <v>102</v>
      </c>
      <c r="C62" s="15">
        <v>539.99</v>
      </c>
      <c r="D62" s="46">
        <v>3.3599999999999998E-4</v>
      </c>
      <c r="E62" s="36"/>
      <c r="F62" s="77" t="s">
        <v>40</v>
      </c>
      <c r="G62" s="78">
        <v>25960.45</v>
      </c>
      <c r="H62" s="78">
        <v>10890.48</v>
      </c>
      <c r="I62" s="83">
        <f>IFERROR(Tabela5[[#This Row],[25. Fat.]]/Tabela5[[#This Row],[24. Fat]],"")</f>
        <v>2.383774636196017</v>
      </c>
      <c r="J62" s="7"/>
      <c r="L62" s="3" t="s">
        <v>40</v>
      </c>
      <c r="M62" s="5">
        <f>SUMIFS(Tabela1[Valor],Tabela1[Empresa],Tabela6[[#This Row],[Empresa]],Tabela1[Mês],$M$20)</f>
        <v>2461.98</v>
      </c>
      <c r="N62" s="5">
        <f>SUMIFS(Tabela18[Valor],Tabela18[Empresa],Tabela6[[#This Row],[Empresa]],Tabela18[Mês],'25. BANCO DE DADOS'!$M$20)</f>
        <v>10558.21</v>
      </c>
      <c r="O62" s="7">
        <f>IFERROR(Tabela6[[#This Row],[25. Fat.]]/Tabela6[[#This Row],[24. Fat]],"")</f>
        <v>0.23318157149744134</v>
      </c>
    </row>
    <row r="63" spans="1:15" ht="15.6" x14ac:dyDescent="0.3">
      <c r="A63" s="45" t="s">
        <v>61</v>
      </c>
      <c r="B63" s="14" t="s">
        <v>102</v>
      </c>
      <c r="C63" s="15">
        <v>525.64</v>
      </c>
      <c r="D63" s="46">
        <v>3.2699999999999998E-4</v>
      </c>
      <c r="E63" s="36"/>
      <c r="F63" s="77" t="s">
        <v>42</v>
      </c>
      <c r="G63" s="78">
        <v>24022.55</v>
      </c>
      <c r="H63" s="78">
        <v>10416.709999999999</v>
      </c>
      <c r="I63" s="83">
        <f>IFERROR(Tabela5[[#This Row],[25. Fat.]]/Tabela5[[#This Row],[24. Fat]],"")</f>
        <v>2.3061552063943416</v>
      </c>
      <c r="J63" s="7"/>
      <c r="L63" s="3" t="s">
        <v>41</v>
      </c>
      <c r="M63" s="5">
        <f>SUMIFS(Tabela1[Valor],Tabela1[Empresa],Tabela6[[#This Row],[Empresa]],Tabela1[Mês],$M$20)</f>
        <v>2346.42</v>
      </c>
      <c r="N63" s="5">
        <f>SUMIFS(Tabela18[Valor],Tabela18[Empresa],Tabela6[[#This Row],[Empresa]],Tabela18[Mês],'25. BANCO DE DADOS'!$M$20)</f>
        <v>1254.0999999999999</v>
      </c>
      <c r="O63" s="7">
        <f>IFERROR(Tabela6[[#This Row],[25. Fat.]]/Tabela6[[#This Row],[24. Fat]],"")</f>
        <v>1.8709991228769638</v>
      </c>
    </row>
    <row r="64" spans="1:15" ht="15.6" x14ac:dyDescent="0.3">
      <c r="A64" s="45" t="s">
        <v>62</v>
      </c>
      <c r="B64" s="14" t="s">
        <v>102</v>
      </c>
      <c r="C64" s="15">
        <v>504.67</v>
      </c>
      <c r="D64" s="46">
        <v>3.1399999999999999E-4</v>
      </c>
      <c r="E64" s="36"/>
      <c r="F64" s="77" t="s">
        <v>41</v>
      </c>
      <c r="G64" s="78">
        <v>22997.01</v>
      </c>
      <c r="H64" s="78">
        <v>8904.07</v>
      </c>
      <c r="I64" s="83">
        <f>IFERROR(Tabela5[[#This Row],[25. Fat.]]/Tabela5[[#This Row],[24. Fat]],"")</f>
        <v>2.5827526063923574</v>
      </c>
      <c r="J64" s="7"/>
      <c r="L64" s="3" t="s">
        <v>42</v>
      </c>
      <c r="M64" s="5">
        <f>SUMIFS(Tabela1[Valor],Tabela1[Empresa],Tabela6[[#This Row],[Empresa]],Tabela1[Mês],$M$20)</f>
        <v>2344.7399999999998</v>
      </c>
      <c r="N64" s="5">
        <f>SUMIFS(Tabela18[Valor],Tabela18[Empresa],Tabela6[[#This Row],[Empresa]],Tabela18[Mês],'25. BANCO DE DADOS'!$M$20)</f>
        <v>1784.24</v>
      </c>
      <c r="O64" s="7">
        <f>IFERROR(Tabela6[[#This Row],[25. Fat.]]/Tabela6[[#This Row],[24. Fat]],"")</f>
        <v>1.3141393534502084</v>
      </c>
    </row>
    <row r="65" spans="1:15" ht="15.6" x14ac:dyDescent="0.3">
      <c r="A65" s="45" t="s">
        <v>63</v>
      </c>
      <c r="B65" s="14" t="s">
        <v>102</v>
      </c>
      <c r="C65" s="15">
        <v>488.89</v>
      </c>
      <c r="D65" s="46">
        <v>3.0400000000000002E-4</v>
      </c>
      <c r="E65" s="36"/>
      <c r="F65" s="77" t="s">
        <v>47</v>
      </c>
      <c r="G65" s="78">
        <v>21152.57</v>
      </c>
      <c r="H65" s="78">
        <v>8666.48</v>
      </c>
      <c r="I65" s="83">
        <f>IFERROR(Tabela5[[#This Row],[25. Fat.]]/Tabela5[[#This Row],[24. Fat]],"")</f>
        <v>2.4407337234955833</v>
      </c>
      <c r="J65" s="7"/>
      <c r="L65" s="3" t="s">
        <v>43</v>
      </c>
      <c r="M65" s="5">
        <f>SUMIFS(Tabela1[Valor],Tabela1[Empresa],Tabela6[[#This Row],[Empresa]],Tabela1[Mês],$M$20)</f>
        <v>2033.21</v>
      </c>
      <c r="N65" s="5">
        <f>SUMIFS(Tabela18[Valor],Tabela18[Empresa],Tabela6[[#This Row],[Empresa]],Tabela18[Mês],'25. BANCO DE DADOS'!$M$20)</f>
        <v>0</v>
      </c>
      <c r="O65" s="7" t="str">
        <f>IFERROR(Tabela6[[#This Row],[25. Fat.]]/Tabela6[[#This Row],[24. Fat]],"")</f>
        <v/>
      </c>
    </row>
    <row r="66" spans="1:15" ht="15.6" x14ac:dyDescent="0.3">
      <c r="A66" s="45" t="s">
        <v>64</v>
      </c>
      <c r="B66" s="14" t="s">
        <v>102</v>
      </c>
      <c r="C66" s="15">
        <v>467.7</v>
      </c>
      <c r="D66" s="46">
        <v>2.9100000000000003E-4</v>
      </c>
      <c r="E66" s="36"/>
      <c r="F66" s="77" t="s">
        <v>43</v>
      </c>
      <c r="G66" s="78">
        <v>19963.7</v>
      </c>
      <c r="H66" s="78">
        <v>6751.08</v>
      </c>
      <c r="I66" s="83">
        <f>IFERROR(Tabela5[[#This Row],[25. Fat.]]/Tabela5[[#This Row],[24. Fat]],"")</f>
        <v>2.957112047257624</v>
      </c>
      <c r="J66" s="7"/>
      <c r="L66" s="3" t="s">
        <v>44</v>
      </c>
      <c r="M66" s="5">
        <f>SUMIFS(Tabela1[Valor],Tabela1[Empresa],Tabela6[[#This Row],[Empresa]],Tabela1[Mês],$M$20)</f>
        <v>1923.5</v>
      </c>
      <c r="N66" s="5">
        <f>SUMIFS(Tabela18[Valor],Tabela18[Empresa],Tabela6[[#This Row],[Empresa]],Tabela18[Mês],'25. BANCO DE DADOS'!$M$20)</f>
        <v>0</v>
      </c>
      <c r="O66" s="7" t="str">
        <f>IFERROR(Tabela6[[#This Row],[25. Fat.]]/Tabela6[[#This Row],[24. Fat]],"")</f>
        <v/>
      </c>
    </row>
    <row r="67" spans="1:15" ht="15.6" x14ac:dyDescent="0.3">
      <c r="A67" s="45" t="s">
        <v>65</v>
      </c>
      <c r="B67" s="14" t="s">
        <v>102</v>
      </c>
      <c r="C67" s="15">
        <v>456</v>
      </c>
      <c r="D67" s="46">
        <v>2.8299999999999999E-4</v>
      </c>
      <c r="E67" s="36"/>
      <c r="F67" s="77" t="s">
        <v>45</v>
      </c>
      <c r="G67" s="78">
        <v>19651.419999999998</v>
      </c>
      <c r="H67" s="78">
        <v>5621.5</v>
      </c>
      <c r="I67" s="83">
        <f>IFERROR(Tabela5[[#This Row],[25. Fat.]]/Tabela5[[#This Row],[24. Fat]],"")</f>
        <v>3.4957609179044735</v>
      </c>
      <c r="J67" s="7"/>
      <c r="L67" s="3" t="s">
        <v>45</v>
      </c>
      <c r="M67" s="5">
        <f>SUMIFS(Tabela1[Valor],Tabela1[Empresa],Tabela6[[#This Row],[Empresa]],Tabela1[Mês],$M$20)</f>
        <v>1491.77</v>
      </c>
      <c r="N67" s="5">
        <f>SUMIFS(Tabela18[Valor],Tabela18[Empresa],Tabela6[[#This Row],[Empresa]],Tabela18[Mês],'25. BANCO DE DADOS'!$M$20)</f>
        <v>8305.6299999999992</v>
      </c>
      <c r="O67" s="7">
        <f>IFERROR(Tabela6[[#This Row],[25. Fat.]]/Tabela6[[#This Row],[24. Fat]],"")</f>
        <v>0.1796094938011927</v>
      </c>
    </row>
    <row r="68" spans="1:15" ht="15.6" x14ac:dyDescent="0.3">
      <c r="A68" s="45" t="s">
        <v>66</v>
      </c>
      <c r="B68" s="14" t="s">
        <v>102</v>
      </c>
      <c r="C68" s="15">
        <v>394.15</v>
      </c>
      <c r="D68" s="46">
        <v>2.4499999999999999E-4</v>
      </c>
      <c r="E68" s="36"/>
      <c r="F68" s="77" t="s">
        <v>54</v>
      </c>
      <c r="G68" s="78">
        <v>15895.88</v>
      </c>
      <c r="H68" s="78">
        <v>5446.45</v>
      </c>
      <c r="I68" s="83">
        <f>IFERROR(Tabela5[[#This Row],[25. Fat.]]/Tabela5[[#This Row],[24. Fat]],"")</f>
        <v>2.9185763203554607</v>
      </c>
      <c r="J68" s="7"/>
      <c r="L68" s="3" t="s">
        <v>46</v>
      </c>
      <c r="M68" s="5">
        <f>SUMIFS(Tabela1[Valor],Tabela1[Empresa],Tabela6[[#This Row],[Empresa]],Tabela1[Mês],$M$20)</f>
        <v>1404.72</v>
      </c>
      <c r="N68" s="5">
        <f>SUMIFS(Tabela18[Valor],Tabela18[Empresa],Tabela6[[#This Row],[Empresa]],Tabela18[Mês],'25. BANCO DE DADOS'!$M$20)</f>
        <v>41.93</v>
      </c>
      <c r="O68" s="7">
        <f>IFERROR(Tabela6[[#This Row],[25. Fat.]]/Tabela6[[#This Row],[24. Fat]],"")</f>
        <v>33.501550202718818</v>
      </c>
    </row>
    <row r="69" spans="1:15" ht="15.6" x14ac:dyDescent="0.3">
      <c r="A69" s="45" t="s">
        <v>67</v>
      </c>
      <c r="B69" s="14" t="s">
        <v>102</v>
      </c>
      <c r="C69" s="15">
        <v>384.33</v>
      </c>
      <c r="D69" s="46">
        <v>2.3900000000000001E-4</v>
      </c>
      <c r="E69" s="36"/>
      <c r="F69" s="77" t="s">
        <v>46</v>
      </c>
      <c r="G69" s="78">
        <v>15302.23</v>
      </c>
      <c r="H69" s="78">
        <v>5171.3500000000004</v>
      </c>
      <c r="I69" s="83">
        <f>IFERROR(Tabela5[[#This Row],[25. Fat.]]/Tabela5[[#This Row],[24. Fat]],"")</f>
        <v>2.9590397091668517</v>
      </c>
      <c r="J69" s="7"/>
      <c r="L69" s="3" t="s">
        <v>47</v>
      </c>
      <c r="M69" s="5">
        <f>SUMIFS(Tabela1[Valor],Tabela1[Empresa],Tabela6[[#This Row],[Empresa]],Tabela1[Mês],$M$20)</f>
        <v>1363.56</v>
      </c>
      <c r="N69" s="5">
        <f>SUMIFS(Tabela18[Valor],Tabela18[Empresa],Tabela6[[#This Row],[Empresa]],Tabela18[Mês],'25. BANCO DE DADOS'!$M$20)</f>
        <v>67.06</v>
      </c>
      <c r="O69" s="7">
        <f>IFERROR(Tabela6[[#This Row],[25. Fat.]]/Tabela6[[#This Row],[24. Fat]],"")</f>
        <v>20.333432746793914</v>
      </c>
    </row>
    <row r="70" spans="1:15" ht="15.6" x14ac:dyDescent="0.3">
      <c r="A70" s="45" t="s">
        <v>68</v>
      </c>
      <c r="B70" s="14" t="s">
        <v>102</v>
      </c>
      <c r="C70" s="15">
        <v>376.95</v>
      </c>
      <c r="D70" s="46">
        <v>2.34E-4</v>
      </c>
      <c r="E70" s="36"/>
      <c r="F70" s="77" t="s">
        <v>95</v>
      </c>
      <c r="G70" s="78">
        <v>14725.62</v>
      </c>
      <c r="H70" s="78">
        <v>5155.09</v>
      </c>
      <c r="I70" s="83">
        <f>IFERROR(Tabela5[[#This Row],[25. Fat.]]/Tabela5[[#This Row],[24. Fat]],"")</f>
        <v>2.8565204487215548</v>
      </c>
      <c r="J70" s="7"/>
      <c r="L70" s="3" t="s">
        <v>48</v>
      </c>
      <c r="M70" s="5">
        <f>SUMIFS(Tabela1[Valor],Tabela1[Empresa],Tabela6[[#This Row],[Empresa]],Tabela1[Mês],$M$20)</f>
        <v>1353.62</v>
      </c>
      <c r="N70" s="5">
        <f>SUMIFS(Tabela18[Valor],Tabela18[Empresa],Tabela6[[#This Row],[Empresa]],Tabela18[Mês],'25. BANCO DE DADOS'!$M$20)</f>
        <v>2107.62</v>
      </c>
      <c r="O70" s="7">
        <f>IFERROR(Tabela6[[#This Row],[25. Fat.]]/Tabela6[[#This Row],[24. Fat]],"")</f>
        <v>0.64225050056461785</v>
      </c>
    </row>
    <row r="71" spans="1:15" ht="15.6" x14ac:dyDescent="0.3">
      <c r="A71" s="45" t="s">
        <v>69</v>
      </c>
      <c r="B71" s="14" t="s">
        <v>102</v>
      </c>
      <c r="C71" s="15">
        <v>299.85000000000002</v>
      </c>
      <c r="D71" s="46">
        <v>1.8599999999999999E-4</v>
      </c>
      <c r="E71" s="36"/>
      <c r="F71" s="77" t="s">
        <v>31</v>
      </c>
      <c r="G71" s="78">
        <v>14579.98</v>
      </c>
      <c r="H71" s="78">
        <v>4950.29</v>
      </c>
      <c r="I71" s="83">
        <f>IFERROR(Tabela5[[#This Row],[25. Fat.]]/Tabela5[[#This Row],[24. Fat]],"")</f>
        <v>2.9452779534128304</v>
      </c>
      <c r="J71" s="7"/>
      <c r="L71" s="3" t="s">
        <v>49</v>
      </c>
      <c r="M71" s="5">
        <f>SUMIFS(Tabela1[Valor],Tabela1[Empresa],Tabela6[[#This Row],[Empresa]],Tabela1[Mês],$M$20)</f>
        <v>1342.28</v>
      </c>
      <c r="N71" s="5">
        <f>SUMIFS(Tabela18[Valor],Tabela18[Empresa],Tabela6[[#This Row],[Empresa]],Tabela18[Mês],'25. BANCO DE DADOS'!$M$20)</f>
        <v>1174.55</v>
      </c>
      <c r="O71" s="7">
        <f>IFERROR(Tabela6[[#This Row],[25. Fat.]]/Tabela6[[#This Row],[24. Fat]],"")</f>
        <v>1.1428036269209485</v>
      </c>
    </row>
    <row r="72" spans="1:15" ht="15.6" x14ac:dyDescent="0.3">
      <c r="A72" s="45" t="s">
        <v>70</v>
      </c>
      <c r="B72" s="14" t="s">
        <v>102</v>
      </c>
      <c r="C72" s="15">
        <v>183.68</v>
      </c>
      <c r="D72" s="46">
        <v>1.1400000000000001E-4</v>
      </c>
      <c r="E72" s="36"/>
      <c r="F72" s="77" t="s">
        <v>163</v>
      </c>
      <c r="G72" s="78">
        <v>14133.58</v>
      </c>
      <c r="H72" s="78">
        <v>4462.6899999999996</v>
      </c>
      <c r="I72" s="83">
        <f>IFERROR(Tabela5[[#This Row],[25. Fat.]]/Tabela5[[#This Row],[24. Fat]],"")</f>
        <v>3.1670539517645189</v>
      </c>
      <c r="J72" s="7"/>
      <c r="L72" s="3" t="s">
        <v>50</v>
      </c>
      <c r="M72" s="5">
        <f>SUMIFS(Tabela1[Valor],Tabela1[Empresa],Tabela6[[#This Row],[Empresa]],Tabela1[Mês],$M$20)</f>
        <v>1334.44</v>
      </c>
      <c r="N72" s="5">
        <f>SUMIFS(Tabela18[Valor],Tabela18[Empresa],Tabela6[[#This Row],[Empresa]],Tabela18[Mês],'25. BANCO DE DADOS'!$M$20)</f>
        <v>267.33</v>
      </c>
      <c r="O72" s="7">
        <f>IFERROR(Tabela6[[#This Row],[25. Fat.]]/Tabela6[[#This Row],[24. Fat]],"")</f>
        <v>4.9917330640032924</v>
      </c>
    </row>
    <row r="73" spans="1:15" ht="15.6" x14ac:dyDescent="0.3">
      <c r="A73" s="45" t="s">
        <v>71</v>
      </c>
      <c r="B73" s="14" t="s">
        <v>102</v>
      </c>
      <c r="C73" s="15">
        <v>168.18</v>
      </c>
      <c r="D73" s="46">
        <v>1.05E-4</v>
      </c>
      <c r="E73" s="36"/>
      <c r="F73" s="77" t="s">
        <v>61</v>
      </c>
      <c r="G73" s="78">
        <v>13505.23</v>
      </c>
      <c r="H73" s="78">
        <v>4445.46</v>
      </c>
      <c r="I73" s="83">
        <f>IFERROR(Tabela5[[#This Row],[25. Fat.]]/Tabela5[[#This Row],[24. Fat]],"")</f>
        <v>3.0379825709825306</v>
      </c>
      <c r="J73" s="7"/>
      <c r="L73" s="3" t="s">
        <v>51</v>
      </c>
      <c r="M73" s="5">
        <f>SUMIFS(Tabela1[Valor],Tabela1[Empresa],Tabela6[[#This Row],[Empresa]],Tabela1[Mês],$M$20)</f>
        <v>1176.5999999999999</v>
      </c>
      <c r="N73" s="5">
        <f>SUMIFS(Tabela18[Valor],Tabela18[Empresa],Tabela6[[#This Row],[Empresa]],Tabela18[Mês],'25. BANCO DE DADOS'!$M$20)</f>
        <v>0</v>
      </c>
      <c r="O73" s="7" t="str">
        <f>IFERROR(Tabela6[[#This Row],[25. Fat.]]/Tabela6[[#This Row],[24. Fat]],"")</f>
        <v/>
      </c>
    </row>
    <row r="74" spans="1:15" ht="15.6" x14ac:dyDescent="0.3">
      <c r="A74" s="45" t="s">
        <v>72</v>
      </c>
      <c r="B74" s="14" t="s">
        <v>102</v>
      </c>
      <c r="C74" s="15">
        <v>138.69999999999999</v>
      </c>
      <c r="D74" s="46">
        <v>8.6000000000000003E-5</v>
      </c>
      <c r="E74" s="36"/>
      <c r="F74" s="77" t="s">
        <v>23</v>
      </c>
      <c r="G74" s="78">
        <v>13254.77</v>
      </c>
      <c r="H74" s="78">
        <v>4033.13</v>
      </c>
      <c r="I74" s="83">
        <f>IFERROR(Tabela5[[#This Row],[25. Fat.]]/Tabela5[[#This Row],[24. Fat]],"")</f>
        <v>3.2864722932313115</v>
      </c>
      <c r="J74" s="7"/>
      <c r="L74" s="3" t="s">
        <v>52</v>
      </c>
      <c r="M74" s="5">
        <f>SUMIFS(Tabela1[Valor],Tabela1[Empresa],Tabela6[[#This Row],[Empresa]],Tabela1[Mês],$M$20)</f>
        <v>1083.02</v>
      </c>
      <c r="N74" s="5">
        <f>SUMIFS(Tabela18[Valor],Tabela18[Empresa],Tabela6[[#This Row],[Empresa]],Tabela18[Mês],'25. BANCO DE DADOS'!$M$20)</f>
        <v>1857.54</v>
      </c>
      <c r="O74" s="7">
        <f>IFERROR(Tabela6[[#This Row],[25. Fat.]]/Tabela6[[#This Row],[24. Fat]],"")</f>
        <v>0.58303993453707592</v>
      </c>
    </row>
    <row r="75" spans="1:15" ht="15.6" x14ac:dyDescent="0.3">
      <c r="A75" s="45" t="s">
        <v>73</v>
      </c>
      <c r="B75" s="14" t="s">
        <v>102</v>
      </c>
      <c r="C75" s="15">
        <v>127.05</v>
      </c>
      <c r="D75" s="46">
        <v>7.9000000000000009E-5</v>
      </c>
      <c r="E75" s="36"/>
      <c r="F75" s="77" t="s">
        <v>33</v>
      </c>
      <c r="G75" s="78">
        <v>12547.42</v>
      </c>
      <c r="H75" s="78">
        <v>3437.37</v>
      </c>
      <c r="I75" s="83">
        <f>IFERROR(Tabela5[[#This Row],[25. Fat.]]/Tabela5[[#This Row],[24. Fat]],"")</f>
        <v>3.6502965930347915</v>
      </c>
      <c r="J75" s="7"/>
      <c r="L75" s="3" t="s">
        <v>53</v>
      </c>
      <c r="M75" s="5">
        <f>SUMIFS(Tabela1[Valor],Tabela1[Empresa],Tabela6[[#This Row],[Empresa]],Tabela1[Mês],$M$20)</f>
        <v>1023.4</v>
      </c>
      <c r="N75" s="5">
        <f>SUMIFS(Tabela18[Valor],Tabela18[Empresa],Tabela6[[#This Row],[Empresa]],Tabela18[Mês],'25. BANCO DE DADOS'!$M$20)</f>
        <v>0</v>
      </c>
      <c r="O75" s="7" t="str">
        <f>IFERROR(Tabela6[[#This Row],[25. Fat.]]/Tabela6[[#This Row],[24. Fat]],"")</f>
        <v/>
      </c>
    </row>
    <row r="76" spans="1:15" ht="15.6" x14ac:dyDescent="0.3">
      <c r="A76" s="45" t="s">
        <v>74</v>
      </c>
      <c r="B76" s="14" t="s">
        <v>102</v>
      </c>
      <c r="C76" s="15">
        <v>114.39</v>
      </c>
      <c r="D76" s="46">
        <v>7.1000000000000005E-5</v>
      </c>
      <c r="E76" s="36"/>
      <c r="F76" s="77" t="s">
        <v>37</v>
      </c>
      <c r="G76" s="78">
        <v>11807.78</v>
      </c>
      <c r="H76" s="78">
        <v>3240.86</v>
      </c>
      <c r="I76" s="83">
        <f>IFERROR(Tabela5[[#This Row],[25. Fat.]]/Tabela5[[#This Row],[24. Fat]],"")</f>
        <v>3.6434094653888165</v>
      </c>
      <c r="J76" s="7"/>
      <c r="L76" s="3" t="s">
        <v>54</v>
      </c>
      <c r="M76" s="5">
        <f>SUMIFS(Tabela1[Valor],Tabela1[Empresa],Tabela6[[#This Row],[Empresa]],Tabela1[Mês],$M$20)</f>
        <v>983.03</v>
      </c>
      <c r="N76" s="5">
        <f>SUMIFS(Tabela18[Valor],Tabela18[Empresa],Tabela6[[#This Row],[Empresa]],Tabela18[Mês],'25. BANCO DE DADOS'!$M$20)</f>
        <v>585.46</v>
      </c>
      <c r="O76" s="7">
        <f>IFERROR(Tabela6[[#This Row],[25. Fat.]]/Tabela6[[#This Row],[24. Fat]],"")</f>
        <v>1.6790728657807534</v>
      </c>
    </row>
    <row r="77" spans="1:15" ht="15.6" x14ac:dyDescent="0.3">
      <c r="A77" s="45" t="s">
        <v>75</v>
      </c>
      <c r="B77" s="14" t="s">
        <v>102</v>
      </c>
      <c r="C77" s="15">
        <v>114.12</v>
      </c>
      <c r="D77" s="46">
        <v>7.1000000000000005E-5</v>
      </c>
      <c r="E77" s="36"/>
      <c r="F77" s="77" t="s">
        <v>161</v>
      </c>
      <c r="G77" s="78">
        <v>10925.43</v>
      </c>
      <c r="H77" s="78">
        <v>3196.01</v>
      </c>
      <c r="I77" s="83">
        <f>IFERROR(Tabela5[[#This Row],[25. Fat.]]/Tabela5[[#This Row],[24. Fat]],"")</f>
        <v>3.4184592663977895</v>
      </c>
      <c r="J77" s="7"/>
      <c r="L77" s="3" t="s">
        <v>55</v>
      </c>
      <c r="M77" s="5">
        <f>SUMIFS(Tabela1[Valor],Tabela1[Empresa],Tabela6[[#This Row],[Empresa]],Tabela1[Mês],$M$20)</f>
        <v>839.29</v>
      </c>
      <c r="N77" s="5">
        <f>SUMIFS(Tabela18[Valor],Tabela18[Empresa],Tabela6[[#This Row],[Empresa]],Tabela18[Mês],'25. BANCO DE DADOS'!$M$20)</f>
        <v>322.2</v>
      </c>
      <c r="O77" s="7">
        <f>IFERROR(Tabela6[[#This Row],[25. Fat.]]/Tabela6[[#This Row],[24. Fat]],"")</f>
        <v>2.6048727498448168</v>
      </c>
    </row>
    <row r="78" spans="1:15" ht="15.6" x14ac:dyDescent="0.3">
      <c r="A78" s="45" t="s">
        <v>37</v>
      </c>
      <c r="B78" s="14" t="s">
        <v>102</v>
      </c>
      <c r="C78" s="15">
        <v>111.66</v>
      </c>
      <c r="D78" s="46">
        <v>6.8999999999999997E-5</v>
      </c>
      <c r="E78" s="36"/>
      <c r="F78" s="77" t="s">
        <v>51</v>
      </c>
      <c r="G78" s="78">
        <v>10755.26</v>
      </c>
      <c r="H78" s="78">
        <v>2828.37</v>
      </c>
      <c r="I78" s="83">
        <f>IFERROR(Tabela5[[#This Row],[25. Fat.]]/Tabela5[[#This Row],[24. Fat]],"")</f>
        <v>3.8026354402005396</v>
      </c>
      <c r="J78" s="7"/>
      <c r="L78" s="3" t="s">
        <v>56</v>
      </c>
      <c r="M78" s="5">
        <f>SUMIFS(Tabela1[Valor],Tabela1[Empresa],Tabela6[[#This Row],[Empresa]],Tabela1[Mês],$M$20)</f>
        <v>805.14</v>
      </c>
      <c r="N78" s="5">
        <f>SUMIFS(Tabela18[Valor],Tabela18[Empresa],Tabela6[[#This Row],[Empresa]],Tabela18[Mês],'25. BANCO DE DADOS'!$M$20)</f>
        <v>0</v>
      </c>
      <c r="O78" s="7" t="str">
        <f>IFERROR(Tabela6[[#This Row],[25. Fat.]]/Tabela6[[#This Row],[24. Fat]],"")</f>
        <v/>
      </c>
    </row>
    <row r="79" spans="1:15" ht="15.6" x14ac:dyDescent="0.3">
      <c r="A79" s="45" t="s">
        <v>76</v>
      </c>
      <c r="B79" s="14" t="s">
        <v>102</v>
      </c>
      <c r="C79" s="15">
        <v>105.98</v>
      </c>
      <c r="D79" s="46">
        <v>6.6000000000000005E-5</v>
      </c>
      <c r="E79" s="36"/>
      <c r="F79" s="77" t="s">
        <v>90</v>
      </c>
      <c r="G79" s="78">
        <v>9938.89</v>
      </c>
      <c r="H79" s="78">
        <v>2686.48</v>
      </c>
      <c r="I79" s="83">
        <f>IFERROR(Tabela5[[#This Row],[25. Fat.]]/Tabela5[[#This Row],[24. Fat]],"")</f>
        <v>3.6995957535511148</v>
      </c>
      <c r="J79" s="7"/>
      <c r="L79" s="3" t="s">
        <v>57</v>
      </c>
      <c r="M79" s="5">
        <f>SUMIFS(Tabela1[Valor],Tabela1[Empresa],Tabela6[[#This Row],[Empresa]],Tabela1[Mês],$M$20)</f>
        <v>796.5</v>
      </c>
      <c r="N79" s="5">
        <f>SUMIFS(Tabela18[Valor],Tabela18[Empresa],Tabela6[[#This Row],[Empresa]],Tabela18[Mês],'25. BANCO DE DADOS'!$M$20)</f>
        <v>351</v>
      </c>
      <c r="O79" s="7">
        <f>IFERROR(Tabela6[[#This Row],[25. Fat.]]/Tabela6[[#This Row],[24. Fat]],"")</f>
        <v>2.2692307692307692</v>
      </c>
    </row>
    <row r="80" spans="1:15" ht="15.6" x14ac:dyDescent="0.3">
      <c r="A80" s="45" t="s">
        <v>77</v>
      </c>
      <c r="B80" s="14" t="s">
        <v>102</v>
      </c>
      <c r="C80" s="15">
        <v>92.25</v>
      </c>
      <c r="D80" s="46">
        <v>5.7000000000000003E-5</v>
      </c>
      <c r="E80" s="36"/>
      <c r="F80" s="77" t="s">
        <v>63</v>
      </c>
      <c r="G80" s="78">
        <v>9517.32</v>
      </c>
      <c r="H80" s="78">
        <v>2648.72</v>
      </c>
      <c r="I80" s="83">
        <f>IFERROR(Tabela5[[#This Row],[25. Fat.]]/Tabela5[[#This Row],[24. Fat]],"")</f>
        <v>3.5931770817602464</v>
      </c>
      <c r="J80" s="7"/>
      <c r="L80" s="3" t="s">
        <v>58</v>
      </c>
      <c r="M80" s="5">
        <f>SUMIFS(Tabela1[Valor],Tabela1[Empresa],Tabela6[[#This Row],[Empresa]],Tabela1[Mês],$M$20)</f>
        <v>753.88</v>
      </c>
      <c r="N80" s="5">
        <f>SUMIFS(Tabela18[Valor],Tabela18[Empresa],Tabela6[[#This Row],[Empresa]],Tabela18[Mês],'25. BANCO DE DADOS'!$M$20)</f>
        <v>687.26</v>
      </c>
      <c r="O80" s="7">
        <f>IFERROR(Tabela6[[#This Row],[25. Fat.]]/Tabela6[[#This Row],[24. Fat]],"")</f>
        <v>1.0969356575386318</v>
      </c>
    </row>
    <row r="81" spans="1:15" ht="15.6" x14ac:dyDescent="0.3">
      <c r="A81" s="45" t="s">
        <v>78</v>
      </c>
      <c r="B81" s="14" t="s">
        <v>102</v>
      </c>
      <c r="C81" s="15">
        <v>66.78</v>
      </c>
      <c r="D81" s="46">
        <v>4.1E-5</v>
      </c>
      <c r="E81" s="36"/>
      <c r="F81" s="77" t="s">
        <v>50</v>
      </c>
      <c r="G81" s="78">
        <v>9363.6299999999992</v>
      </c>
      <c r="H81" s="78">
        <v>2573.6799999999998</v>
      </c>
      <c r="I81" s="83">
        <f>IFERROR(Tabela5[[#This Row],[25. Fat.]]/Tabela5[[#This Row],[24. Fat]],"")</f>
        <v>3.6382261975070715</v>
      </c>
      <c r="J81" s="7"/>
      <c r="L81" s="3" t="s">
        <v>59</v>
      </c>
      <c r="M81" s="5">
        <f>SUMIFS(Tabela1[Valor],Tabela1[Empresa],Tabela6[[#This Row],[Empresa]],Tabela1[Mês],$M$20)</f>
        <v>666.79</v>
      </c>
      <c r="N81" s="5">
        <f>SUMIFS(Tabela18[Valor],Tabela18[Empresa],Tabela6[[#This Row],[Empresa]],Tabela18[Mês],'25. BANCO DE DADOS'!$M$20)</f>
        <v>236.58</v>
      </c>
      <c r="O81" s="7">
        <f>IFERROR(Tabela6[[#This Row],[25. Fat.]]/Tabela6[[#This Row],[24. Fat]],"")</f>
        <v>2.8184546453630905</v>
      </c>
    </row>
    <row r="82" spans="1:15" ht="15.6" x14ac:dyDescent="0.3">
      <c r="A82" s="45" t="s">
        <v>79</v>
      </c>
      <c r="B82" s="14" t="s">
        <v>102</v>
      </c>
      <c r="C82" s="15">
        <v>52.82</v>
      </c>
      <c r="D82" s="46">
        <v>3.3000000000000003E-5</v>
      </c>
      <c r="E82" s="36"/>
      <c r="F82" s="77" t="s">
        <v>165</v>
      </c>
      <c r="G82" s="78">
        <v>8299.24</v>
      </c>
      <c r="H82" s="78">
        <v>2492.7399999999998</v>
      </c>
      <c r="I82" s="83">
        <f>IFERROR(Tabela5[[#This Row],[25. Fat.]]/Tabela5[[#This Row],[24. Fat]],"")</f>
        <v>3.3293644744337558</v>
      </c>
      <c r="J82" s="7"/>
      <c r="L82" s="3" t="s">
        <v>60</v>
      </c>
      <c r="M82" s="5">
        <f>SUMIFS(Tabela1[Valor],Tabela1[Empresa],Tabela6[[#This Row],[Empresa]],Tabela1[Mês],$M$20)</f>
        <v>539.99</v>
      </c>
      <c r="N82" s="5">
        <f>SUMIFS(Tabela18[Valor],Tabela18[Empresa],Tabela6[[#This Row],[Empresa]],Tabela18[Mês],'25. BANCO DE DADOS'!$M$20)</f>
        <v>536.79999999999995</v>
      </c>
      <c r="O82" s="7">
        <f>IFERROR(Tabela6[[#This Row],[25. Fat.]]/Tabela6[[#This Row],[24. Fat]],"")</f>
        <v>1.0059426229508197</v>
      </c>
    </row>
    <row r="83" spans="1:15" ht="15.6" x14ac:dyDescent="0.3">
      <c r="A83" s="45" t="s">
        <v>80</v>
      </c>
      <c r="B83" s="14" t="s">
        <v>102</v>
      </c>
      <c r="C83" s="15">
        <v>38.5</v>
      </c>
      <c r="D83" s="46">
        <v>2.3999999999999997E-5</v>
      </c>
      <c r="E83" s="36"/>
      <c r="F83" s="77" t="s">
        <v>44</v>
      </c>
      <c r="G83" s="78">
        <v>7324.49</v>
      </c>
      <c r="H83" s="78">
        <v>2390.56</v>
      </c>
      <c r="I83" s="83">
        <f>IFERROR(Tabela5[[#This Row],[25. Fat.]]/Tabela5[[#This Row],[24. Fat]],"")</f>
        <v>3.0639222608928454</v>
      </c>
      <c r="J83" s="7"/>
      <c r="L83" s="3" t="s">
        <v>61</v>
      </c>
      <c r="M83" s="5">
        <f>SUMIFS(Tabela1[Valor],Tabela1[Empresa],Tabela6[[#This Row],[Empresa]],Tabela1[Mês],$M$20)</f>
        <v>525.64</v>
      </c>
      <c r="N83" s="5">
        <f>SUMIFS(Tabela18[Valor],Tabela18[Empresa],Tabela6[[#This Row],[Empresa]],Tabela18[Mês],'25. BANCO DE DADOS'!$M$20)</f>
        <v>0</v>
      </c>
      <c r="O83" s="7" t="str">
        <f>IFERROR(Tabela6[[#This Row],[25. Fat.]]/Tabela6[[#This Row],[24. Fat]],"")</f>
        <v/>
      </c>
    </row>
    <row r="84" spans="1:15" ht="15.6" x14ac:dyDescent="0.3">
      <c r="A84" s="45" t="s">
        <v>81</v>
      </c>
      <c r="B84" s="14" t="s">
        <v>102</v>
      </c>
      <c r="C84" s="15">
        <v>24.7</v>
      </c>
      <c r="D84" s="46">
        <v>1.5E-5</v>
      </c>
      <c r="E84" s="36"/>
      <c r="F84" s="77" t="s">
        <v>18</v>
      </c>
      <c r="G84" s="78">
        <v>5822.69</v>
      </c>
      <c r="H84" s="78">
        <v>2332.8000000000002</v>
      </c>
      <c r="I84" s="83">
        <f>IFERROR(Tabela5[[#This Row],[25. Fat.]]/Tabela5[[#This Row],[24. Fat]],"")</f>
        <v>2.4960090877914949</v>
      </c>
      <c r="J84" s="7"/>
      <c r="L84" s="3" t="s">
        <v>62</v>
      </c>
      <c r="M84" s="5">
        <f>SUMIFS(Tabela1[Valor],Tabela1[Empresa],Tabela6[[#This Row],[Empresa]],Tabela1[Mês],$M$20)</f>
        <v>504.67</v>
      </c>
      <c r="N84" s="5">
        <f>SUMIFS(Tabela18[Valor],Tabela18[Empresa],Tabela6[[#This Row],[Empresa]],Tabela18[Mês],'25. BANCO DE DADOS'!$M$20)</f>
        <v>1205.78</v>
      </c>
      <c r="O84" s="7">
        <f>IFERROR(Tabela6[[#This Row],[25. Fat.]]/Tabela6[[#This Row],[24. Fat]],"")</f>
        <v>0.41854235432665993</v>
      </c>
    </row>
    <row r="85" spans="1:15" ht="15.6" x14ac:dyDescent="0.3">
      <c r="A85" s="45" t="s">
        <v>82</v>
      </c>
      <c r="B85" s="14" t="s">
        <v>102</v>
      </c>
      <c r="C85" s="15">
        <v>23.82</v>
      </c>
      <c r="D85" s="46">
        <v>1.5E-5</v>
      </c>
      <c r="E85" s="36"/>
      <c r="F85" s="77" t="s">
        <v>55</v>
      </c>
      <c r="G85" s="78">
        <v>5168.1499999999996</v>
      </c>
      <c r="H85" s="78">
        <v>2330.42</v>
      </c>
      <c r="I85" s="83">
        <f>IFERROR(Tabela5[[#This Row],[25. Fat.]]/Tabela5[[#This Row],[24. Fat]],"")</f>
        <v>2.2176903734090847</v>
      </c>
      <c r="J85" s="7"/>
      <c r="L85" s="3" t="s">
        <v>63</v>
      </c>
      <c r="M85" s="5">
        <f>SUMIFS(Tabela1[Valor],Tabela1[Empresa],Tabela6[[#This Row],[Empresa]],Tabela1[Mês],$M$20)</f>
        <v>488.89</v>
      </c>
      <c r="N85" s="5">
        <f>SUMIFS(Tabela18[Valor],Tabela18[Empresa],Tabela6[[#This Row],[Empresa]],Tabela18[Mês],'25. BANCO DE DADOS'!$M$20)</f>
        <v>299.7</v>
      </c>
      <c r="O85" s="7">
        <f>IFERROR(Tabela6[[#This Row],[25. Fat.]]/Tabela6[[#This Row],[24. Fat]],"")</f>
        <v>1.6312645979312645</v>
      </c>
    </row>
    <row r="86" spans="1:15" ht="15.6" x14ac:dyDescent="0.3">
      <c r="A86" s="45" t="s">
        <v>83</v>
      </c>
      <c r="B86" s="14" t="s">
        <v>102</v>
      </c>
      <c r="C86" s="15">
        <v>22.88</v>
      </c>
      <c r="D86" s="46">
        <v>1.4E-5</v>
      </c>
      <c r="E86" s="36"/>
      <c r="F86" s="77" t="s">
        <v>53</v>
      </c>
      <c r="G86" s="78">
        <v>5154.66</v>
      </c>
      <c r="H86" s="78">
        <v>2029.83</v>
      </c>
      <c r="I86" s="83">
        <f>IFERROR(Tabela5[[#This Row],[25. Fat.]]/Tabela5[[#This Row],[24. Fat]],"")</f>
        <v>2.5394540429494095</v>
      </c>
      <c r="J86" s="7"/>
      <c r="L86" s="3" t="s">
        <v>64</v>
      </c>
      <c r="M86" s="5">
        <f>SUMIFS(Tabela1[Valor],Tabela1[Empresa],Tabela6[[#This Row],[Empresa]],Tabela1[Mês],$M$20)</f>
        <v>467.7</v>
      </c>
      <c r="N86" s="5">
        <f>SUMIFS(Tabela18[Valor],Tabela18[Empresa],Tabela6[[#This Row],[Empresa]],Tabela18[Mês],'25. BANCO DE DADOS'!$M$20)</f>
        <v>0</v>
      </c>
      <c r="O86" s="7" t="str">
        <f>IFERROR(Tabela6[[#This Row],[25. Fat.]]/Tabela6[[#This Row],[24. Fat]],"")</f>
        <v/>
      </c>
    </row>
    <row r="87" spans="1:15" ht="15.6" x14ac:dyDescent="0.3">
      <c r="A87" s="45" t="s">
        <v>84</v>
      </c>
      <c r="B87" s="14" t="s">
        <v>102</v>
      </c>
      <c r="C87" s="15">
        <v>17.600000000000001</v>
      </c>
      <c r="D87" s="46">
        <v>1.1000000000000001E-5</v>
      </c>
      <c r="E87" s="36"/>
      <c r="F87" s="77" t="s">
        <v>35</v>
      </c>
      <c r="G87" s="78">
        <v>5115.5600000000004</v>
      </c>
      <c r="H87" s="78">
        <v>1773.3</v>
      </c>
      <c r="I87" s="83">
        <f>IFERROR(Tabela5[[#This Row],[25. Fat.]]/Tabela5[[#This Row],[24. Fat]],"")</f>
        <v>2.8847685106862913</v>
      </c>
      <c r="J87" s="7"/>
      <c r="L87" s="3" t="s">
        <v>65</v>
      </c>
      <c r="M87" s="5">
        <f>SUMIFS(Tabela1[Valor],Tabela1[Empresa],Tabela6[[#This Row],[Empresa]],Tabela1[Mês],$M$20)</f>
        <v>456</v>
      </c>
      <c r="N87" s="5">
        <f>SUMIFS(Tabela18[Valor],Tabela18[Empresa],Tabela6[[#This Row],[Empresa]],Tabela18[Mês],'25. BANCO DE DADOS'!$M$20)</f>
        <v>0</v>
      </c>
      <c r="O87" s="7" t="str">
        <f>IFERROR(Tabela6[[#This Row],[25. Fat.]]/Tabela6[[#This Row],[24. Fat]],"")</f>
        <v/>
      </c>
    </row>
    <row r="88" spans="1:15" ht="15.6" x14ac:dyDescent="0.3">
      <c r="A88" s="45" t="s">
        <v>85</v>
      </c>
      <c r="B88" s="14" t="s">
        <v>102</v>
      </c>
      <c r="C88" s="15">
        <v>15.33</v>
      </c>
      <c r="D88" s="46">
        <v>1.0000000000000001E-5</v>
      </c>
      <c r="E88" s="36"/>
      <c r="F88" s="77" t="s">
        <v>34</v>
      </c>
      <c r="G88" s="78">
        <v>4751.5200000000004</v>
      </c>
      <c r="H88" s="78">
        <v>1186.0899999999999</v>
      </c>
      <c r="I88" s="83">
        <f>IFERROR(Tabela5[[#This Row],[25. Fat.]]/Tabela5[[#This Row],[24. Fat]],"")</f>
        <v>4.0060366414015807</v>
      </c>
      <c r="J88" s="7"/>
      <c r="L88" s="3" t="s">
        <v>66</v>
      </c>
      <c r="M88" s="5">
        <f>SUMIFS(Tabela1[Valor],Tabela1[Empresa],Tabela6[[#This Row],[Empresa]],Tabela1[Mês],$M$20)</f>
        <v>394.15</v>
      </c>
      <c r="N88" s="5">
        <f>SUMIFS(Tabela18[Valor],Tabela18[Empresa],Tabela6[[#This Row],[Empresa]],Tabela18[Mês],'25. BANCO DE DADOS'!$M$20)</f>
        <v>202.43</v>
      </c>
      <c r="O88" s="7">
        <f>IFERROR(Tabela6[[#This Row],[25. Fat.]]/Tabela6[[#This Row],[24. Fat]],"")</f>
        <v>1.9470928222101465</v>
      </c>
    </row>
    <row r="89" spans="1:15" ht="15.6" x14ac:dyDescent="0.3">
      <c r="A89" s="45" t="s">
        <v>86</v>
      </c>
      <c r="B89" s="14" t="s">
        <v>102</v>
      </c>
      <c r="C89" s="15">
        <v>14.62</v>
      </c>
      <c r="D89" s="46">
        <v>9.0000000000000002E-6</v>
      </c>
      <c r="E89" s="36"/>
      <c r="F89" s="77" t="s">
        <v>67</v>
      </c>
      <c r="G89" s="78">
        <v>4046.52</v>
      </c>
      <c r="H89" s="78">
        <v>977.74</v>
      </c>
      <c r="I89" s="83">
        <f>IFERROR(Tabela5[[#This Row],[25. Fat.]]/Tabela5[[#This Row],[24. Fat]],"")</f>
        <v>4.138646265878454</v>
      </c>
      <c r="J89" s="7"/>
      <c r="L89" s="3" t="s">
        <v>67</v>
      </c>
      <c r="M89" s="5">
        <f>SUMIFS(Tabela1[Valor],Tabela1[Empresa],Tabela6[[#This Row],[Empresa]],Tabela1[Mês],$M$20)</f>
        <v>384.33</v>
      </c>
      <c r="N89" s="5">
        <f>SUMIFS(Tabela18[Valor],Tabela18[Empresa],Tabela6[[#This Row],[Empresa]],Tabela18[Mês],'25. BANCO DE DADOS'!$M$20)</f>
        <v>1039.71</v>
      </c>
      <c r="O89" s="7">
        <f>IFERROR(Tabela6[[#This Row],[25. Fat.]]/Tabela6[[#This Row],[24. Fat]],"")</f>
        <v>0.36965115272527915</v>
      </c>
    </row>
    <row r="90" spans="1:15" ht="15.6" x14ac:dyDescent="0.3">
      <c r="A90" s="45" t="s">
        <v>87</v>
      </c>
      <c r="B90" s="14" t="s">
        <v>102</v>
      </c>
      <c r="C90" s="15">
        <v>10.86</v>
      </c>
      <c r="D90" s="46">
        <v>6.9999999999999999E-6</v>
      </c>
      <c r="E90" s="36"/>
      <c r="F90" s="77" t="s">
        <v>62</v>
      </c>
      <c r="G90" s="78">
        <v>3740.59</v>
      </c>
      <c r="H90" s="78">
        <v>847.14</v>
      </c>
      <c r="I90" s="83">
        <f>IFERROR(Tabela5[[#This Row],[25. Fat.]]/Tabela5[[#This Row],[24. Fat]],"")</f>
        <v>4.4155511485704846</v>
      </c>
      <c r="J90" s="7"/>
      <c r="L90" s="3" t="s">
        <v>68</v>
      </c>
      <c r="M90" s="5">
        <f>SUMIFS(Tabela1[Valor],Tabela1[Empresa],Tabela6[[#This Row],[Empresa]],Tabela1[Mês],$M$20)</f>
        <v>376.95</v>
      </c>
      <c r="N90" s="5">
        <f>SUMIFS(Tabela18[Valor],Tabela18[Empresa],Tabela6[[#This Row],[Empresa]],Tabela18[Mês],'25. BANCO DE DADOS'!$M$20)</f>
        <v>0</v>
      </c>
      <c r="O90" s="7" t="str">
        <f>IFERROR(Tabela6[[#This Row],[25. Fat.]]/Tabela6[[#This Row],[24. Fat]],"")</f>
        <v/>
      </c>
    </row>
    <row r="91" spans="1:15" ht="15.6" x14ac:dyDescent="0.3">
      <c r="A91" s="45" t="s">
        <v>88</v>
      </c>
      <c r="B91" s="14" t="s">
        <v>102</v>
      </c>
      <c r="C91" s="15">
        <v>9.64</v>
      </c>
      <c r="D91" s="46">
        <v>5.9999999999999993E-6</v>
      </c>
      <c r="E91" s="36"/>
      <c r="F91" s="77" t="s">
        <v>83</v>
      </c>
      <c r="G91" s="78">
        <v>3501.86</v>
      </c>
      <c r="H91" s="78">
        <v>715.04</v>
      </c>
      <c r="I91" s="83">
        <f>IFERROR(Tabela5[[#This Row],[25. Fat.]]/Tabela5[[#This Row],[24. Fat]],"")</f>
        <v>4.8974323114790783</v>
      </c>
      <c r="J91" s="7"/>
      <c r="L91" s="3" t="s">
        <v>69</v>
      </c>
      <c r="M91" s="5">
        <f>SUMIFS(Tabela1[Valor],Tabela1[Empresa],Tabela6[[#This Row],[Empresa]],Tabela1[Mês],$M$20)</f>
        <v>299.85000000000002</v>
      </c>
      <c r="N91" s="5">
        <f>SUMIFS(Tabela18[Valor],Tabela18[Empresa],Tabela6[[#This Row],[Empresa]],Tabela18[Mês],'25. BANCO DE DADOS'!$M$20)</f>
        <v>0</v>
      </c>
      <c r="O91" s="7" t="str">
        <f>IFERROR(Tabela6[[#This Row],[25. Fat.]]/Tabela6[[#This Row],[24. Fat]],"")</f>
        <v/>
      </c>
    </row>
    <row r="92" spans="1:15" ht="15.6" x14ac:dyDescent="0.3">
      <c r="A92" s="45" t="s">
        <v>89</v>
      </c>
      <c r="B92" s="14" t="s">
        <v>102</v>
      </c>
      <c r="C92" s="15">
        <v>6.99</v>
      </c>
      <c r="D92" s="46">
        <v>3.9999999999999998E-6</v>
      </c>
      <c r="E92" s="36"/>
      <c r="F92" s="77" t="s">
        <v>84</v>
      </c>
      <c r="G92" s="78">
        <v>2932.56</v>
      </c>
      <c r="H92" s="78">
        <v>674.74</v>
      </c>
      <c r="I92" s="83">
        <f>IFERROR(Tabela5[[#This Row],[25. Fat.]]/Tabela5[[#This Row],[24. Fat]],"")</f>
        <v>4.3462074280463581</v>
      </c>
      <c r="J92" s="7"/>
      <c r="L92" s="3" t="s">
        <v>70</v>
      </c>
      <c r="M92" s="5">
        <f>SUMIFS(Tabela1[Valor],Tabela1[Empresa],Tabela6[[#This Row],[Empresa]],Tabela1[Mês],$M$20)</f>
        <v>183.68</v>
      </c>
      <c r="N92" s="5">
        <f>SUMIFS(Tabela18[Valor],Tabela18[Empresa],Tabela6[[#This Row],[Empresa]],Tabela18[Mês],'25. BANCO DE DADOS'!$M$20)</f>
        <v>0</v>
      </c>
      <c r="O92" s="7" t="str">
        <f>IFERROR(Tabela6[[#This Row],[25. Fat.]]/Tabela6[[#This Row],[24. Fat]],"")</f>
        <v/>
      </c>
    </row>
    <row r="93" spans="1:15" ht="15.6" x14ac:dyDescent="0.3">
      <c r="A93" s="45" t="s">
        <v>1</v>
      </c>
      <c r="B93" s="14" t="s">
        <v>103</v>
      </c>
      <c r="C93" s="15">
        <v>226733.45</v>
      </c>
      <c r="D93" s="46">
        <v>0.16373000000000001</v>
      </c>
      <c r="E93" s="36"/>
      <c r="F93" s="77" t="s">
        <v>96</v>
      </c>
      <c r="G93" s="78">
        <v>2873.57</v>
      </c>
      <c r="H93" s="78">
        <v>496.51</v>
      </c>
      <c r="I93" s="83">
        <f>IFERROR(Tabela5[[#This Row],[25. Fat.]]/Tabela5[[#This Row],[24. Fat]],"")</f>
        <v>5.7875370083180604</v>
      </c>
      <c r="J93" s="7"/>
      <c r="L93" s="3" t="s">
        <v>71</v>
      </c>
      <c r="M93" s="5">
        <f>SUMIFS(Tabela1[Valor],Tabela1[Empresa],Tabela6[[#This Row],[Empresa]],Tabela1[Mês],$M$20)</f>
        <v>168.18</v>
      </c>
      <c r="N93" s="5">
        <f>SUMIFS(Tabela18[Valor],Tabela18[Empresa],Tabela6[[#This Row],[Empresa]],Tabela18[Mês],'25. BANCO DE DADOS'!$M$20)</f>
        <v>181.38</v>
      </c>
      <c r="O93" s="7">
        <f>IFERROR(Tabela6[[#This Row],[25. Fat.]]/Tabela6[[#This Row],[24. Fat]],"")</f>
        <v>0.92722461131326506</v>
      </c>
    </row>
    <row r="94" spans="1:15" ht="15.6" x14ac:dyDescent="0.3">
      <c r="A94" s="45" t="s">
        <v>0</v>
      </c>
      <c r="B94" s="14" t="s">
        <v>103</v>
      </c>
      <c r="C94" s="15">
        <v>161355.42000000001</v>
      </c>
      <c r="D94" s="46">
        <v>0.116519</v>
      </c>
      <c r="E94" s="36"/>
      <c r="F94" s="77" t="s">
        <v>76</v>
      </c>
      <c r="G94" s="78">
        <v>2729.67</v>
      </c>
      <c r="H94" s="78">
        <v>481.81</v>
      </c>
      <c r="I94" s="83">
        <f>IFERROR(Tabela5[[#This Row],[25. Fat.]]/Tabela5[[#This Row],[24. Fat]],"")</f>
        <v>5.6654490359270255</v>
      </c>
      <c r="J94" s="7"/>
      <c r="L94" s="3" t="s">
        <v>72</v>
      </c>
      <c r="M94" s="5">
        <f>SUMIFS(Tabela1[Valor],Tabela1[Empresa],Tabela6[[#This Row],[Empresa]],Tabela1[Mês],$M$20)</f>
        <v>138.69999999999999</v>
      </c>
      <c r="N94" s="5">
        <f>SUMIFS(Tabela18[Valor],Tabela18[Empresa],Tabela6[[#This Row],[Empresa]],Tabela18[Mês],'25. BANCO DE DADOS'!$M$20)</f>
        <v>524.39</v>
      </c>
      <c r="O94" s="7">
        <f>IFERROR(Tabela6[[#This Row],[25. Fat.]]/Tabela6[[#This Row],[24. Fat]],"")</f>
        <v>0.26449779744083601</v>
      </c>
    </row>
    <row r="95" spans="1:15" ht="15.6" x14ac:dyDescent="0.3">
      <c r="A95" s="45" t="s">
        <v>2</v>
      </c>
      <c r="B95" s="14" t="s">
        <v>103</v>
      </c>
      <c r="C95" s="15">
        <v>129732.38</v>
      </c>
      <c r="D95" s="46">
        <v>9.3683000000000002E-2</v>
      </c>
      <c r="E95" s="36"/>
      <c r="F95" s="77" t="s">
        <v>60</v>
      </c>
      <c r="G95" s="78">
        <v>2716.89</v>
      </c>
      <c r="H95" s="78">
        <v>467.93</v>
      </c>
      <c r="I95" s="83">
        <f>IFERROR(Tabela5[[#This Row],[25. Fat.]]/Tabela5[[#This Row],[24. Fat]],"")</f>
        <v>5.8061889598871623</v>
      </c>
      <c r="J95" s="7"/>
      <c r="L95" s="3" t="s">
        <v>73</v>
      </c>
      <c r="M95" s="5">
        <f>SUMIFS(Tabela1[Valor],Tabela1[Empresa],Tabela6[[#This Row],[Empresa]],Tabela1[Mês],$M$20)</f>
        <v>127.05</v>
      </c>
      <c r="N95" s="5">
        <f>SUMIFS(Tabela18[Valor],Tabela18[Empresa],Tabela6[[#This Row],[Empresa]],Tabela18[Mês],'25. BANCO DE DADOS'!$M$20)</f>
        <v>0</v>
      </c>
      <c r="O95" s="7" t="str">
        <f>IFERROR(Tabela6[[#This Row],[25. Fat.]]/Tabela6[[#This Row],[24. Fat]],"")</f>
        <v/>
      </c>
    </row>
    <row r="96" spans="1:15" ht="15.6" x14ac:dyDescent="0.3">
      <c r="A96" s="45" t="s">
        <v>3</v>
      </c>
      <c r="B96" s="14" t="s">
        <v>103</v>
      </c>
      <c r="C96" s="15">
        <v>100248.87</v>
      </c>
      <c r="D96" s="46">
        <v>7.2391999999999998E-2</v>
      </c>
      <c r="E96" s="36"/>
      <c r="F96" s="77" t="s">
        <v>91</v>
      </c>
      <c r="G96" s="78">
        <v>2267.6999999999998</v>
      </c>
      <c r="H96" s="78">
        <v>405.12</v>
      </c>
      <c r="I96" s="83">
        <f>IFERROR(Tabela5[[#This Row],[25. Fat.]]/Tabela5[[#This Row],[24. Fat]],"")</f>
        <v>5.5976007109004735</v>
      </c>
      <c r="J96" s="7"/>
      <c r="L96" s="3" t="s">
        <v>74</v>
      </c>
      <c r="M96" s="5">
        <f>SUMIFS(Tabela1[Valor],Tabela1[Empresa],Tabela6[[#This Row],[Empresa]],Tabela1[Mês],$M$20)</f>
        <v>114.39</v>
      </c>
      <c r="N96" s="5">
        <f>SUMIFS(Tabela18[Valor],Tabela18[Empresa],Tabela6[[#This Row],[Empresa]],Tabela18[Mês],'25. BANCO DE DADOS'!$M$20)</f>
        <v>204.5</v>
      </c>
      <c r="O96" s="7">
        <f>IFERROR(Tabela6[[#This Row],[25. Fat.]]/Tabela6[[#This Row],[24. Fat]],"")</f>
        <v>0.55936430317848407</v>
      </c>
    </row>
    <row r="97" spans="1:15" ht="15.6" x14ac:dyDescent="0.3">
      <c r="A97" s="45" t="s">
        <v>8</v>
      </c>
      <c r="B97" s="14" t="s">
        <v>103</v>
      </c>
      <c r="C97" s="15">
        <v>84810.34</v>
      </c>
      <c r="D97" s="46">
        <v>6.1243999999999993E-2</v>
      </c>
      <c r="E97" s="36"/>
      <c r="F97" s="77" t="s">
        <v>36</v>
      </c>
      <c r="G97" s="78">
        <v>2243.48</v>
      </c>
      <c r="H97" s="78">
        <v>359.92</v>
      </c>
      <c r="I97" s="83">
        <f>IFERROR(Tabela5[[#This Row],[25. Fat.]]/Tabela5[[#This Row],[24. Fat]],"")</f>
        <v>6.2332740609024224</v>
      </c>
      <c r="J97" s="7"/>
      <c r="L97" s="3" t="s">
        <v>75</v>
      </c>
      <c r="M97" s="5">
        <f>SUMIFS(Tabela1[Valor],Tabela1[Empresa],Tabela6[[#This Row],[Empresa]],Tabela1[Mês],$M$20)</f>
        <v>114.12</v>
      </c>
      <c r="N97" s="5">
        <f>SUMIFS(Tabela18[Valor],Tabela18[Empresa],Tabela6[[#This Row],[Empresa]],Tabela18[Mês],'25. BANCO DE DADOS'!$M$20)</f>
        <v>95.1</v>
      </c>
      <c r="O97" s="7">
        <f>IFERROR(Tabela6[[#This Row],[25. Fat.]]/Tabela6[[#This Row],[24. Fat]],"")</f>
        <v>1.2000000000000002</v>
      </c>
    </row>
    <row r="98" spans="1:15" ht="15.6" x14ac:dyDescent="0.3">
      <c r="A98" s="45" t="s">
        <v>6</v>
      </c>
      <c r="B98" s="14" t="s">
        <v>103</v>
      </c>
      <c r="C98" s="15">
        <v>66698.52</v>
      </c>
      <c r="D98" s="46">
        <v>4.8164999999999993E-2</v>
      </c>
      <c r="E98" s="36"/>
      <c r="F98" s="77" t="s">
        <v>58</v>
      </c>
      <c r="G98" s="78">
        <v>2181.14</v>
      </c>
      <c r="H98" s="78">
        <v>356.23</v>
      </c>
      <c r="I98" s="83">
        <f>IFERROR(Tabela5[[#This Row],[25. Fat.]]/Tabela5[[#This Row],[24. Fat]],"")</f>
        <v>6.1228419841113881</v>
      </c>
      <c r="J98" s="7"/>
      <c r="L98" s="3" t="s">
        <v>76</v>
      </c>
      <c r="M98" s="5">
        <f>SUMIFS(Tabela1[Valor],Tabela1[Empresa],Tabela6[[#This Row],[Empresa]],Tabela1[Mês],$M$20)</f>
        <v>105.98</v>
      </c>
      <c r="N98" s="5">
        <f>SUMIFS(Tabela18[Valor],Tabela18[Empresa],Tabela6[[#This Row],[Empresa]],Tabela18[Mês],'25. BANCO DE DADOS'!$M$20)</f>
        <v>217.19</v>
      </c>
      <c r="O98" s="7">
        <f>IFERROR(Tabela6[[#This Row],[25. Fat.]]/Tabela6[[#This Row],[24. Fat]],"")</f>
        <v>0.48795985082186105</v>
      </c>
    </row>
    <row r="99" spans="1:15" ht="15.6" x14ac:dyDescent="0.3">
      <c r="A99" s="45" t="s">
        <v>7</v>
      </c>
      <c r="B99" s="14" t="s">
        <v>103</v>
      </c>
      <c r="C99" s="15">
        <v>58153.42</v>
      </c>
      <c r="D99" s="46">
        <v>4.1993999999999997E-2</v>
      </c>
      <c r="E99" s="36"/>
      <c r="F99" s="77" t="s">
        <v>164</v>
      </c>
      <c r="G99" s="78">
        <v>2167.6799999999998</v>
      </c>
      <c r="H99" s="78">
        <v>341.8</v>
      </c>
      <c r="I99" s="83">
        <f>IFERROR(Tabela5[[#This Row],[25. Fat.]]/Tabela5[[#This Row],[24. Fat]],"")</f>
        <v>6.3419543592744292</v>
      </c>
      <c r="J99" s="7"/>
      <c r="L99" s="3" t="s">
        <v>77</v>
      </c>
      <c r="M99" s="5">
        <f>SUMIFS(Tabela1[Valor],Tabela1[Empresa],Tabela6[[#This Row],[Empresa]],Tabela1[Mês],$M$20)</f>
        <v>92.25</v>
      </c>
      <c r="N99" s="5">
        <f>SUMIFS(Tabela18[Valor],Tabela18[Empresa],Tabela6[[#This Row],[Empresa]],Tabela18[Mês],'25. BANCO DE DADOS'!$M$20)</f>
        <v>0</v>
      </c>
      <c r="O99" s="7" t="str">
        <f>IFERROR(Tabela6[[#This Row],[25. Fat.]]/Tabela6[[#This Row],[24. Fat]],"")</f>
        <v/>
      </c>
    </row>
    <row r="100" spans="1:15" ht="15.6" x14ac:dyDescent="0.3">
      <c r="A100" s="45" t="s">
        <v>4</v>
      </c>
      <c r="B100" s="14" t="s">
        <v>103</v>
      </c>
      <c r="C100" s="15">
        <v>56883.08</v>
      </c>
      <c r="D100" s="46">
        <v>4.1077000000000002E-2</v>
      </c>
      <c r="E100" s="36"/>
      <c r="F100" s="77" t="s">
        <v>81</v>
      </c>
      <c r="G100" s="78">
        <v>2105.46</v>
      </c>
      <c r="H100" s="78">
        <v>295.13</v>
      </c>
      <c r="I100" s="83">
        <f>IFERROR(Tabela5[[#This Row],[25. Fat.]]/Tabela5[[#This Row],[24. Fat]],"")</f>
        <v>7.1340087419103444</v>
      </c>
      <c r="J100" s="7"/>
      <c r="L100" s="3" t="s">
        <v>78</v>
      </c>
      <c r="M100" s="5">
        <f>SUMIFS(Tabela1[Valor],Tabela1[Empresa],Tabela6[[#This Row],[Empresa]],Tabela1[Mês],$M$20)</f>
        <v>66.78</v>
      </c>
      <c r="N100" s="5">
        <f>SUMIFS(Tabela18[Valor],Tabela18[Empresa],Tabela6[[#This Row],[Empresa]],Tabela18[Mês],'25. BANCO DE DADOS'!$M$20)</f>
        <v>0</v>
      </c>
      <c r="O100" s="7" t="str">
        <f>IFERROR(Tabela6[[#This Row],[25. Fat.]]/Tabela6[[#This Row],[24. Fat]],"")</f>
        <v/>
      </c>
    </row>
    <row r="101" spans="1:15" ht="15.6" x14ac:dyDescent="0.3">
      <c r="A101" s="45" t="s">
        <v>10</v>
      </c>
      <c r="B101" s="14" t="s">
        <v>103</v>
      </c>
      <c r="C101" s="15">
        <v>52102</v>
      </c>
      <c r="D101" s="46">
        <v>3.7623999999999998E-2</v>
      </c>
      <c r="E101" s="36"/>
      <c r="F101" s="77" t="s">
        <v>22</v>
      </c>
      <c r="G101" s="78">
        <v>2033.69</v>
      </c>
      <c r="H101" s="78">
        <v>279.32</v>
      </c>
      <c r="I101" s="83">
        <f>IFERROR(Tabela5[[#This Row],[25. Fat.]]/Tabela5[[#This Row],[24. Fat]],"")</f>
        <v>7.2808606616067593</v>
      </c>
      <c r="J101" s="7"/>
      <c r="L101" s="3" t="s">
        <v>79</v>
      </c>
      <c r="M101" s="5">
        <f>SUMIFS(Tabela1[Valor],Tabela1[Empresa],Tabela6[[#This Row],[Empresa]],Tabela1[Mês],$M$20)</f>
        <v>52.82</v>
      </c>
      <c r="N101" s="5">
        <f>SUMIFS(Tabela18[Valor],Tabela18[Empresa],Tabela6[[#This Row],[Empresa]],Tabela18[Mês],'25. BANCO DE DADOS'!$M$20)</f>
        <v>0</v>
      </c>
      <c r="O101" s="7" t="str">
        <f>IFERROR(Tabela6[[#This Row],[25. Fat.]]/Tabela6[[#This Row],[24. Fat]],"")</f>
        <v/>
      </c>
    </row>
    <row r="102" spans="1:15" ht="15.6" x14ac:dyDescent="0.3">
      <c r="A102" s="45" t="s">
        <v>5</v>
      </c>
      <c r="B102" s="14" t="s">
        <v>103</v>
      </c>
      <c r="C102" s="15">
        <v>51933.38</v>
      </c>
      <c r="D102" s="46">
        <v>3.7502000000000001E-2</v>
      </c>
      <c r="E102" s="36"/>
      <c r="F102" s="77" t="s">
        <v>65</v>
      </c>
      <c r="G102" s="78">
        <v>2012.4</v>
      </c>
      <c r="H102" s="78">
        <v>218.68</v>
      </c>
      <c r="I102" s="83">
        <f>IFERROR(Tabela5[[#This Row],[25. Fat.]]/Tabela5[[#This Row],[24. Fat]],"")</f>
        <v>9.2024876531918789</v>
      </c>
      <c r="J102" s="7"/>
      <c r="L102" s="3" t="s">
        <v>80</v>
      </c>
      <c r="M102" s="5">
        <f>SUMIFS(Tabela1[Valor],Tabela1[Empresa],Tabela6[[#This Row],[Empresa]],Tabela1[Mês],$M$20)</f>
        <v>38.5</v>
      </c>
      <c r="N102" s="5">
        <f>SUMIFS(Tabela18[Valor],Tabela18[Empresa],Tabela6[[#This Row],[Empresa]],Tabela18[Mês],'25. BANCO DE DADOS'!$M$20)</f>
        <v>193.78</v>
      </c>
      <c r="O102" s="7">
        <f>IFERROR(Tabela6[[#This Row],[25. Fat.]]/Tabela6[[#This Row],[24. Fat]],"")</f>
        <v>0.19867891423263495</v>
      </c>
    </row>
    <row r="103" spans="1:15" ht="15.6" x14ac:dyDescent="0.3">
      <c r="A103" s="45" t="s">
        <v>9</v>
      </c>
      <c r="B103" s="14" t="s">
        <v>103</v>
      </c>
      <c r="C103" s="15">
        <v>41168.449999999997</v>
      </c>
      <c r="D103" s="46">
        <v>2.9729000000000002E-2</v>
      </c>
      <c r="E103" s="36"/>
      <c r="F103" s="77" t="s">
        <v>68</v>
      </c>
      <c r="G103" s="78">
        <v>1922.17</v>
      </c>
      <c r="H103" s="78">
        <v>214.36</v>
      </c>
      <c r="I103" s="83">
        <f>IFERROR(Tabela5[[#This Row],[25. Fat.]]/Tabela5[[#This Row],[24. Fat]],"")</f>
        <v>8.9670181003918632</v>
      </c>
      <c r="J103" s="7"/>
      <c r="L103" s="3" t="s">
        <v>81</v>
      </c>
      <c r="M103" s="5">
        <f>SUMIFS(Tabela1[Valor],Tabela1[Empresa],Tabela6[[#This Row],[Empresa]],Tabela1[Mês],$M$20)</f>
        <v>24.7</v>
      </c>
      <c r="N103" s="5">
        <f>SUMIFS(Tabela18[Valor],Tabela18[Empresa],Tabela6[[#This Row],[Empresa]],Tabela18[Mês],'25. BANCO DE DADOS'!$M$20)</f>
        <v>127.09</v>
      </c>
      <c r="O103" s="7">
        <f>IFERROR(Tabela6[[#This Row],[25. Fat.]]/Tabela6[[#This Row],[24. Fat]],"")</f>
        <v>0.19435046030372177</v>
      </c>
    </row>
    <row r="104" spans="1:15" ht="15.6" x14ac:dyDescent="0.3">
      <c r="A104" s="45" t="s">
        <v>14</v>
      </c>
      <c r="B104" s="14" t="s">
        <v>103</v>
      </c>
      <c r="C104" s="15">
        <v>36547.06</v>
      </c>
      <c r="D104" s="46">
        <v>2.6391000000000001E-2</v>
      </c>
      <c r="E104" s="36"/>
      <c r="F104" s="77" t="s">
        <v>169</v>
      </c>
      <c r="G104" s="78">
        <v>1868.45</v>
      </c>
      <c r="H104" s="78">
        <v>187.91</v>
      </c>
      <c r="I104" s="83">
        <f>IFERROR(Tabela5[[#This Row],[25. Fat.]]/Tabela5[[#This Row],[24. Fat]],"")</f>
        <v>9.9433239316694166</v>
      </c>
      <c r="J104" s="7"/>
      <c r="L104" s="3" t="s">
        <v>82</v>
      </c>
      <c r="M104" s="5">
        <f>SUMIFS(Tabela1[Valor],Tabela1[Empresa],Tabela6[[#This Row],[Empresa]],Tabela1[Mês],$M$20)</f>
        <v>23.82</v>
      </c>
      <c r="N104" s="5">
        <f>SUMIFS(Tabela18[Valor],Tabela18[Empresa],Tabela6[[#This Row],[Empresa]],Tabela18[Mês],'25. BANCO DE DADOS'!$M$20)</f>
        <v>112.38</v>
      </c>
      <c r="O104" s="7">
        <f>IFERROR(Tabela6[[#This Row],[25. Fat.]]/Tabela6[[#This Row],[24. Fat]],"")</f>
        <v>0.21195942338494395</v>
      </c>
    </row>
    <row r="105" spans="1:15" ht="15.6" x14ac:dyDescent="0.3">
      <c r="A105" s="45" t="s">
        <v>12</v>
      </c>
      <c r="B105" s="14" t="s">
        <v>103</v>
      </c>
      <c r="C105" s="15">
        <v>29567.23</v>
      </c>
      <c r="D105" s="46">
        <v>2.1350999999999998E-2</v>
      </c>
      <c r="E105" s="36"/>
      <c r="F105" s="77" t="s">
        <v>88</v>
      </c>
      <c r="G105" s="78">
        <v>1543.5</v>
      </c>
      <c r="H105" s="78">
        <v>152.56</v>
      </c>
      <c r="I105" s="83">
        <f>IFERROR(Tabela5[[#This Row],[25. Fat.]]/Tabela5[[#This Row],[24. Fat]],"")</f>
        <v>10.117330886208705</v>
      </c>
      <c r="J105" s="7"/>
      <c r="L105" s="3" t="s">
        <v>83</v>
      </c>
      <c r="M105" s="5">
        <f>SUMIFS(Tabela1[Valor],Tabela1[Empresa],Tabela6[[#This Row],[Empresa]],Tabela1[Mês],$M$20)</f>
        <v>22.88</v>
      </c>
      <c r="N105" s="5">
        <f>SUMIFS(Tabela18[Valor],Tabela18[Empresa],Tabela6[[#This Row],[Empresa]],Tabela18[Mês],'25. BANCO DE DADOS'!$M$20)</f>
        <v>2.72</v>
      </c>
      <c r="O105" s="7">
        <f>IFERROR(Tabela6[[#This Row],[25. Fat.]]/Tabela6[[#This Row],[24. Fat]],"")</f>
        <v>8.4117647058823515</v>
      </c>
    </row>
    <row r="106" spans="1:15" ht="15.6" x14ac:dyDescent="0.3">
      <c r="A106" s="45" t="s">
        <v>11</v>
      </c>
      <c r="B106" s="14" t="s">
        <v>103</v>
      </c>
      <c r="C106" s="15">
        <v>27281.09</v>
      </c>
      <c r="D106" s="46">
        <v>1.9699999999999999E-2</v>
      </c>
      <c r="E106" s="36"/>
      <c r="F106" s="77" t="s">
        <v>75</v>
      </c>
      <c r="G106" s="78">
        <v>1320.83</v>
      </c>
      <c r="H106" s="78">
        <v>123.29</v>
      </c>
      <c r="I106" s="83">
        <f>IFERROR(Tabela5[[#This Row],[25. Fat.]]/Tabela5[[#This Row],[24. Fat]],"")</f>
        <v>10.713196528510016</v>
      </c>
      <c r="J106" s="7"/>
      <c r="L106" s="3" t="s">
        <v>84</v>
      </c>
      <c r="M106" s="5">
        <f>SUMIFS(Tabela1[Valor],Tabela1[Empresa],Tabela6[[#This Row],[Empresa]],Tabela1[Mês],$M$20)</f>
        <v>17.600000000000001</v>
      </c>
      <c r="N106" s="5">
        <f>SUMIFS(Tabela18[Valor],Tabela18[Empresa],Tabela6[[#This Row],[Empresa]],Tabela18[Mês],'25. BANCO DE DADOS'!$M$20)</f>
        <v>0</v>
      </c>
      <c r="O106" s="7" t="str">
        <f>IFERROR(Tabela6[[#This Row],[25. Fat.]]/Tabela6[[#This Row],[24. Fat]],"")</f>
        <v/>
      </c>
    </row>
    <row r="107" spans="1:15" ht="15.6" x14ac:dyDescent="0.3">
      <c r="A107" s="45" t="s">
        <v>28</v>
      </c>
      <c r="B107" s="14" t="s">
        <v>103</v>
      </c>
      <c r="C107" s="15">
        <v>23559.02</v>
      </c>
      <c r="D107" s="46">
        <v>1.7013E-2</v>
      </c>
      <c r="E107" s="36"/>
      <c r="F107" s="77" t="s">
        <v>66</v>
      </c>
      <c r="G107" s="78">
        <v>1264.1199999999999</v>
      </c>
      <c r="H107" s="78">
        <v>107.88</v>
      </c>
      <c r="I107" s="83">
        <f>IFERROR(Tabela5[[#This Row],[25. Fat.]]/Tabela5[[#This Row],[24. Fat]],"")</f>
        <v>11.717834631071561</v>
      </c>
      <c r="J107" s="7"/>
      <c r="L107" s="3" t="s">
        <v>85</v>
      </c>
      <c r="M107" s="5">
        <f>SUMIFS(Tabela1[Valor],Tabela1[Empresa],Tabela6[[#This Row],[Empresa]],Tabela1[Mês],$M$20)</f>
        <v>15.33</v>
      </c>
      <c r="N107" s="5">
        <f>SUMIFS(Tabela18[Valor],Tabela18[Empresa],Tabela6[[#This Row],[Empresa]],Tabela18[Mês],'25. BANCO DE DADOS'!$M$20)</f>
        <v>13.14</v>
      </c>
      <c r="O107" s="7">
        <f>IFERROR(Tabela6[[#This Row],[25. Fat.]]/Tabela6[[#This Row],[24. Fat]],"")</f>
        <v>1.1666666666666665</v>
      </c>
    </row>
    <row r="108" spans="1:15" ht="15.6" x14ac:dyDescent="0.3">
      <c r="A108" s="45" t="s">
        <v>24</v>
      </c>
      <c r="B108" s="14" t="s">
        <v>103</v>
      </c>
      <c r="C108" s="15">
        <v>22246.26</v>
      </c>
      <c r="D108" s="46">
        <v>1.6064999999999999E-2</v>
      </c>
      <c r="E108" s="36"/>
      <c r="F108" s="77" t="s">
        <v>37</v>
      </c>
      <c r="G108" s="78">
        <v>1064.18</v>
      </c>
      <c r="H108" s="78">
        <v>94.58</v>
      </c>
      <c r="I108" s="83">
        <f>IFERROR(Tabela5[[#This Row],[25. Fat.]]/Tabela5[[#This Row],[24. Fat]],"")</f>
        <v>11.251638824275746</v>
      </c>
      <c r="J108" s="7"/>
      <c r="L108" s="3" t="s">
        <v>86</v>
      </c>
      <c r="M108" s="5">
        <f>SUMIFS(Tabela1[Valor],Tabela1[Empresa],Tabela6[[#This Row],[Empresa]],Tabela1[Mês],$M$20)</f>
        <v>14.62</v>
      </c>
      <c r="N108" s="5">
        <f>SUMIFS(Tabela18[Valor],Tabela18[Empresa],Tabela6[[#This Row],[Empresa]],Tabela18[Mês],'25. BANCO DE DADOS'!$M$20)</f>
        <v>0</v>
      </c>
      <c r="O108" s="7" t="str">
        <f>IFERROR(Tabela6[[#This Row],[25. Fat.]]/Tabela6[[#This Row],[24. Fat]],"")</f>
        <v/>
      </c>
    </row>
    <row r="109" spans="1:15" ht="15.6" x14ac:dyDescent="0.3">
      <c r="A109" s="45" t="s">
        <v>26</v>
      </c>
      <c r="B109" s="14" t="s">
        <v>103</v>
      </c>
      <c r="C109" s="15">
        <v>22063.02</v>
      </c>
      <c r="D109" s="46">
        <v>1.5931999999999998E-2</v>
      </c>
      <c r="E109" s="36"/>
      <c r="F109" s="77" t="s">
        <v>49</v>
      </c>
      <c r="G109" s="78">
        <v>1056</v>
      </c>
      <c r="H109" s="78">
        <v>82.99</v>
      </c>
      <c r="I109" s="83">
        <f>IFERROR(Tabela5[[#This Row],[25. Fat.]]/Tabela5[[#This Row],[24. Fat]],"")</f>
        <v>12.724424629473431</v>
      </c>
      <c r="J109" s="7"/>
      <c r="L109" s="3" t="s">
        <v>87</v>
      </c>
      <c r="M109" s="5">
        <f>SUMIFS(Tabela1[Valor],Tabela1[Empresa],Tabela6[[#This Row],[Empresa]],Tabela1[Mês],$M$20)</f>
        <v>10.86</v>
      </c>
      <c r="N109" s="5">
        <f>SUMIFS(Tabela18[Valor],Tabela18[Empresa],Tabela6[[#This Row],[Empresa]],Tabela18[Mês],'25. BANCO DE DADOS'!$M$20)</f>
        <v>185.41</v>
      </c>
      <c r="O109" s="7">
        <f>IFERROR(Tabela6[[#This Row],[25. Fat.]]/Tabela6[[#This Row],[24. Fat]],"")</f>
        <v>5.8572892508494685E-2</v>
      </c>
    </row>
    <row r="110" spans="1:15" ht="15.6" x14ac:dyDescent="0.3">
      <c r="A110" s="45" t="s">
        <v>13</v>
      </c>
      <c r="B110" s="14" t="s">
        <v>103</v>
      </c>
      <c r="C110" s="15">
        <v>17738.72</v>
      </c>
      <c r="D110" s="46">
        <v>1.2809999999999998E-2</v>
      </c>
      <c r="E110" s="36"/>
      <c r="F110" s="77" t="s">
        <v>52</v>
      </c>
      <c r="G110" s="78">
        <v>1023.35</v>
      </c>
      <c r="H110" s="78">
        <v>63.09</v>
      </c>
      <c r="I110" s="83">
        <f>IFERROR(Tabela5[[#This Row],[25. Fat.]]/Tabela5[[#This Row],[24. Fat]],"")</f>
        <v>16.220478681249009</v>
      </c>
      <c r="J110" s="7"/>
      <c r="L110" s="3" t="s">
        <v>88</v>
      </c>
      <c r="M110" s="5">
        <f>SUMIFS(Tabela1[Valor],Tabela1[Empresa],Tabela6[[#This Row],[Empresa]],Tabela1[Mês],$M$20)</f>
        <v>9.64</v>
      </c>
      <c r="N110" s="5">
        <f>SUMIFS(Tabela18[Valor],Tabela18[Empresa],Tabela6[[#This Row],[Empresa]],Tabela18[Mês],'25. BANCO DE DADOS'!$M$20)</f>
        <v>69.900000000000006</v>
      </c>
      <c r="O110" s="7">
        <f>IFERROR(Tabela6[[#This Row],[25. Fat.]]/Tabela6[[#This Row],[24. Fat]],"")</f>
        <v>0.13791130185979972</v>
      </c>
    </row>
    <row r="111" spans="1:15" ht="15.6" x14ac:dyDescent="0.3">
      <c r="A111" s="45" t="s">
        <v>20</v>
      </c>
      <c r="B111" s="14" t="s">
        <v>103</v>
      </c>
      <c r="C111" s="15">
        <v>15871.99</v>
      </c>
      <c r="D111" s="46">
        <v>1.1462000000000002E-2</v>
      </c>
      <c r="E111" s="36"/>
      <c r="F111" s="77" t="s">
        <v>80</v>
      </c>
      <c r="G111" s="78">
        <v>866.16</v>
      </c>
      <c r="H111" s="78">
        <v>51.12</v>
      </c>
      <c r="I111" s="83">
        <f>IFERROR(Tabela5[[#This Row],[25. Fat.]]/Tabela5[[#This Row],[24. Fat]],"")</f>
        <v>16.943661971830988</v>
      </c>
      <c r="J111" s="7"/>
      <c r="L111" s="3" t="s">
        <v>89</v>
      </c>
      <c r="M111" s="5">
        <f>SUMIFS(Tabela1[Valor],Tabela1[Empresa],Tabela6[[#This Row],[Empresa]],Tabela1[Mês],$M$20)</f>
        <v>6.99</v>
      </c>
      <c r="N111" s="5">
        <f>SUMIFS(Tabela18[Valor],Tabela18[Empresa],Tabela6[[#This Row],[Empresa]],Tabela18[Mês],'25. BANCO DE DADOS'!$M$20)</f>
        <v>13.98</v>
      </c>
      <c r="O111" s="7">
        <f>IFERROR(Tabela6[[#This Row],[25. Fat.]]/Tabela6[[#This Row],[24. Fat]],"")</f>
        <v>0.5</v>
      </c>
    </row>
    <row r="112" spans="1:15" ht="15.6" x14ac:dyDescent="0.3">
      <c r="A112" s="45" t="s">
        <v>15</v>
      </c>
      <c r="B112" s="14" t="s">
        <v>103</v>
      </c>
      <c r="C112" s="15">
        <v>15035.16</v>
      </c>
      <c r="D112" s="46">
        <v>1.0857E-2</v>
      </c>
      <c r="E112" s="36"/>
      <c r="F112" s="77" t="s">
        <v>149</v>
      </c>
      <c r="G112" s="78">
        <v>784.8</v>
      </c>
      <c r="H112" s="78">
        <v>48.11</v>
      </c>
      <c r="I112" s="83">
        <f>IFERROR(Tabela5[[#This Row],[25. Fat.]]/Tabela5[[#This Row],[24. Fat]],"")</f>
        <v>16.312616919559343</v>
      </c>
      <c r="J112" s="7"/>
      <c r="L112" s="3" t="s">
        <v>95</v>
      </c>
      <c r="M112" s="5">
        <f>SUMIFS(Tabela1[Valor],Tabela1[Empresa],Tabela6[[#This Row],[Empresa]],Tabela1[Mês],$M$20)</f>
        <v>0</v>
      </c>
      <c r="N112" s="5">
        <f>SUMIFS(Tabela18[Valor],Tabela18[Empresa],Tabela6[[#This Row],[Empresa]],Tabela18[Mês],'25. BANCO DE DADOS'!$M$20)</f>
        <v>0</v>
      </c>
      <c r="O112" s="7" t="str">
        <f>IFERROR(Tabela6[[#This Row],[25. Fat.]]/Tabela6[[#This Row],[24. Fat]],"")</f>
        <v/>
      </c>
    </row>
    <row r="113" spans="1:15" ht="15.6" x14ac:dyDescent="0.3">
      <c r="A113" s="45" t="s">
        <v>19</v>
      </c>
      <c r="B113" s="14" t="s">
        <v>103</v>
      </c>
      <c r="C113" s="15">
        <v>14604.84</v>
      </c>
      <c r="D113" s="46">
        <v>1.0546E-2</v>
      </c>
      <c r="E113" s="36"/>
      <c r="F113" s="77" t="s">
        <v>79</v>
      </c>
      <c r="G113" s="78">
        <v>778.66</v>
      </c>
      <c r="H113" s="78">
        <v>47.79</v>
      </c>
      <c r="I113" s="83">
        <f>IFERROR(Tabela5[[#This Row],[25. Fat.]]/Tabela5[[#This Row],[24. Fat]],"")</f>
        <v>16.293366813140825</v>
      </c>
      <c r="J113" s="7"/>
      <c r="L113" s="3" t="s">
        <v>90</v>
      </c>
      <c r="M113" s="5">
        <f>SUMIFS(Tabela1[Valor],Tabela1[Empresa],Tabela6[[#This Row],[Empresa]],Tabela1[Mês],$M$20)</f>
        <v>0</v>
      </c>
      <c r="N113" s="5">
        <f>SUMIFS(Tabela18[Valor],Tabela18[Empresa],Tabela6[[#This Row],[Empresa]],Tabela18[Mês],'25. BANCO DE DADOS'!$M$20)</f>
        <v>0</v>
      </c>
      <c r="O113" s="7" t="str">
        <f>IFERROR(Tabela6[[#This Row],[25. Fat.]]/Tabela6[[#This Row],[24. Fat]],"")</f>
        <v/>
      </c>
    </row>
    <row r="114" spans="1:15" ht="15.6" x14ac:dyDescent="0.3">
      <c r="A114" s="45" t="s">
        <v>18</v>
      </c>
      <c r="B114" s="14" t="s">
        <v>103</v>
      </c>
      <c r="C114" s="15">
        <v>13479.4</v>
      </c>
      <c r="D114" s="46">
        <v>9.7339999999999996E-3</v>
      </c>
      <c r="E114" s="36"/>
      <c r="F114" s="77" t="s">
        <v>93</v>
      </c>
      <c r="G114" s="78">
        <v>718.2</v>
      </c>
      <c r="H114" s="78">
        <v>30.35</v>
      </c>
      <c r="I114" s="83">
        <f>IFERROR(Tabela5[[#This Row],[25. Fat.]]/Tabela5[[#This Row],[24. Fat]],"")</f>
        <v>23.663920922570018</v>
      </c>
      <c r="J114" s="7"/>
      <c r="L114" s="3" t="s">
        <v>93</v>
      </c>
      <c r="M114" s="5">
        <f>SUMIFS(Tabela1[Valor],Tabela1[Empresa],Tabela6[[#This Row],[Empresa]],Tabela1[Mês],$M$20)</f>
        <v>0</v>
      </c>
      <c r="N114" s="5">
        <f>SUMIFS(Tabela18[Valor],Tabela18[Empresa],Tabela6[[#This Row],[Empresa]],Tabela18[Mês],'25. BANCO DE DADOS'!$M$20)</f>
        <v>0</v>
      </c>
      <c r="O114" s="7" t="str">
        <f>IFERROR(Tabela6[[#This Row],[25. Fat.]]/Tabela6[[#This Row],[24. Fat]],"")</f>
        <v/>
      </c>
    </row>
    <row r="115" spans="1:15" ht="15.6" x14ac:dyDescent="0.3">
      <c r="A115" s="45" t="s">
        <v>17</v>
      </c>
      <c r="B115" s="14" t="s">
        <v>103</v>
      </c>
      <c r="C115" s="15">
        <v>11323.3</v>
      </c>
      <c r="D115" s="46">
        <v>8.1770000000000002E-3</v>
      </c>
      <c r="E115" s="36"/>
      <c r="F115" s="77" t="s">
        <v>166</v>
      </c>
      <c r="G115" s="78">
        <v>612.44000000000005</v>
      </c>
      <c r="H115" s="78">
        <v>27.94</v>
      </c>
      <c r="I115" s="83">
        <f>IFERROR(Tabela5[[#This Row],[25. Fat.]]/Tabela5[[#This Row],[24. Fat]],"")</f>
        <v>21.91982820329277</v>
      </c>
      <c r="J115" s="7"/>
      <c r="L115" s="3" t="s">
        <v>96</v>
      </c>
      <c r="M115" s="5">
        <f>SUMIFS(Tabela1[Valor],Tabela1[Empresa],Tabela6[[#This Row],[Empresa]],Tabela1[Mês],$M$20)</f>
        <v>0</v>
      </c>
      <c r="N115" s="5">
        <f>SUMIFS(Tabela18[Valor],Tabela18[Empresa],Tabela6[[#This Row],[Empresa]],Tabela18[Mês],'25. BANCO DE DADOS'!$M$20)</f>
        <v>814.98</v>
      </c>
      <c r="O115" s="7">
        <f>IFERROR(Tabela6[[#This Row],[25. Fat.]]/Tabela6[[#This Row],[24. Fat]],"")</f>
        <v>0</v>
      </c>
    </row>
    <row r="116" spans="1:15" ht="15.6" x14ac:dyDescent="0.3">
      <c r="A116" s="45" t="s">
        <v>16</v>
      </c>
      <c r="B116" s="14" t="s">
        <v>103</v>
      </c>
      <c r="C116" s="15">
        <v>10574.48</v>
      </c>
      <c r="D116" s="46">
        <v>7.6359999999999996E-3</v>
      </c>
      <c r="E116" s="36"/>
      <c r="F116" s="77" t="s">
        <v>73</v>
      </c>
      <c r="G116" s="78">
        <v>585.02</v>
      </c>
      <c r="H116" s="78">
        <v>23.92</v>
      </c>
      <c r="I116" s="83">
        <f>IFERROR(Tabela5[[#This Row],[25. Fat.]]/Tabela5[[#This Row],[24. Fat]],"")</f>
        <v>24.457357859531768</v>
      </c>
      <c r="J116" s="7"/>
      <c r="L116" s="3" t="s">
        <v>97</v>
      </c>
      <c r="M116" s="5">
        <f>SUMIFS(Tabela1[Valor],Tabela1[Empresa],Tabela6[[#This Row],[Empresa]],Tabela1[Mês],$M$20)</f>
        <v>0</v>
      </c>
      <c r="N116" s="5">
        <f>SUMIFS(Tabela18[Valor],Tabela18[Empresa],Tabela6[[#This Row],[Empresa]],Tabela18[Mês],'25. BANCO DE DADOS'!$M$20)</f>
        <v>0</v>
      </c>
      <c r="O116" s="7" t="str">
        <f>IFERROR(Tabela6[[#This Row],[25. Fat.]]/Tabela6[[#This Row],[24. Fat]],"")</f>
        <v/>
      </c>
    </row>
    <row r="117" spans="1:15" ht="15.6" x14ac:dyDescent="0.3">
      <c r="A117" s="45" t="s">
        <v>21</v>
      </c>
      <c r="B117" s="14" t="s">
        <v>103</v>
      </c>
      <c r="C117" s="15">
        <v>9289.6</v>
      </c>
      <c r="D117" s="46">
        <v>6.7079999999999996E-3</v>
      </c>
      <c r="E117" s="36"/>
      <c r="F117" s="77" t="s">
        <v>162</v>
      </c>
      <c r="G117" s="78">
        <v>575.1</v>
      </c>
      <c r="H117" s="78">
        <v>18.7</v>
      </c>
      <c r="I117" s="83">
        <f>IFERROR(Tabela5[[#This Row],[25. Fat.]]/Tabela5[[#This Row],[24. Fat]],"")</f>
        <v>30.754010695187169</v>
      </c>
      <c r="J117" s="7"/>
      <c r="L117" s="3" t="s">
        <v>94</v>
      </c>
      <c r="M117" s="5">
        <f>SUMIFS(Tabela1[Valor],Tabela1[Empresa],Tabela6[[#This Row],[Empresa]],Tabela1[Mês],$M$20)</f>
        <v>0</v>
      </c>
      <c r="N117" s="5">
        <f>SUMIFS(Tabela18[Valor],Tabela18[Empresa],Tabela6[[#This Row],[Empresa]],Tabela18[Mês],'25. BANCO DE DADOS'!$M$20)</f>
        <v>0</v>
      </c>
      <c r="O117" s="7" t="str">
        <f>IFERROR(Tabela6[[#This Row],[25. Fat.]]/Tabela6[[#This Row],[24. Fat]],"")</f>
        <v/>
      </c>
    </row>
    <row r="118" spans="1:15" ht="15.6" x14ac:dyDescent="0.3">
      <c r="A118" s="45" t="s">
        <v>23</v>
      </c>
      <c r="B118" s="14" t="s">
        <v>103</v>
      </c>
      <c r="C118" s="15">
        <v>7262.08</v>
      </c>
      <c r="D118" s="46">
        <v>5.2439999999999995E-3</v>
      </c>
      <c r="E118" s="36"/>
      <c r="F118" s="77" t="s">
        <v>133</v>
      </c>
      <c r="G118" s="78">
        <v>533.86</v>
      </c>
      <c r="H118" s="78">
        <v>5.73</v>
      </c>
      <c r="I118" s="83">
        <f>IFERROR(Tabela5[[#This Row],[25. Fat.]]/Tabela5[[#This Row],[24. Fat]],"")</f>
        <v>93.16928446771378</v>
      </c>
      <c r="J118" s="7"/>
      <c r="L118" s="3" t="s">
        <v>100</v>
      </c>
      <c r="M118" s="5">
        <f>SUMIFS(Tabela1[Valor],Tabela1[Empresa],Tabela6[[#This Row],[Empresa]],Tabela1[Mês],$M$20)</f>
        <v>0</v>
      </c>
      <c r="N118" s="5">
        <f>SUMIFS(Tabela18[Valor],Tabela18[Empresa],Tabela6[[#This Row],[Empresa]],Tabela18[Mês],'25. BANCO DE DADOS'!$M$20)</f>
        <v>0</v>
      </c>
      <c r="O118" s="7" t="str">
        <f>IFERROR(Tabela6[[#This Row],[25. Fat.]]/Tabela6[[#This Row],[24. Fat]],"")</f>
        <v/>
      </c>
    </row>
    <row r="119" spans="1:15" ht="15.6" x14ac:dyDescent="0.3">
      <c r="A119" s="45" t="s">
        <v>41</v>
      </c>
      <c r="B119" s="14" t="s">
        <v>103</v>
      </c>
      <c r="C119" s="15">
        <v>5805.03</v>
      </c>
      <c r="D119" s="46">
        <v>4.1920000000000004E-3</v>
      </c>
      <c r="E119" s="36"/>
      <c r="F119" s="77" t="s">
        <v>78</v>
      </c>
      <c r="G119" s="78">
        <v>417.29</v>
      </c>
      <c r="H119" s="84"/>
      <c r="I119" s="83" t="str">
        <f>IFERROR(Tabela5[[#This Row],[25. Fat.]]/Tabela5[[#This Row],[24. Fat]],"")</f>
        <v/>
      </c>
      <c r="J119" s="7"/>
      <c r="L119" s="3" t="s">
        <v>91</v>
      </c>
      <c r="M119" s="5">
        <f>SUMIFS(Tabela1[Valor],Tabela1[Empresa],Tabela6[[#This Row],[Empresa]],Tabela1[Mês],$M$20)</f>
        <v>0</v>
      </c>
      <c r="N119" s="5">
        <f>SUMIFS(Tabela18[Valor],Tabela18[Empresa],Tabela6[[#This Row],[Empresa]],Tabela18[Mês],'25. BANCO DE DADOS'!$M$20)</f>
        <v>0</v>
      </c>
      <c r="O119" s="7" t="str">
        <f>IFERROR(Tabela6[[#This Row],[25. Fat.]]/Tabela6[[#This Row],[24. Fat]],"")</f>
        <v/>
      </c>
    </row>
    <row r="120" spans="1:15" ht="15.6" x14ac:dyDescent="0.3">
      <c r="A120" s="45" t="s">
        <v>30</v>
      </c>
      <c r="B120" s="14" t="s">
        <v>103</v>
      </c>
      <c r="C120" s="15">
        <v>5447.45</v>
      </c>
      <c r="D120" s="46">
        <v>3.934E-3</v>
      </c>
      <c r="E120" s="36"/>
      <c r="F120" s="77" t="s">
        <v>70</v>
      </c>
      <c r="G120" s="78">
        <v>364.98</v>
      </c>
      <c r="H120" s="84"/>
      <c r="I120" s="83" t="str">
        <f>IFERROR(Tabela5[[#This Row],[25. Fat.]]/Tabela5[[#This Row],[24. Fat]],"")</f>
        <v/>
      </c>
      <c r="J120" s="7"/>
      <c r="L120" s="3" t="s">
        <v>98</v>
      </c>
      <c r="M120" s="5">
        <f>SUMIFS(Tabela1[Valor],Tabela1[Empresa],Tabela6[[#This Row],[Empresa]],Tabela1[Mês],$M$20)</f>
        <v>0</v>
      </c>
      <c r="N120" s="5">
        <f>SUMIFS(Tabela18[Valor],Tabela18[Empresa],Tabela6[[#This Row],[Empresa]],Tabela18[Mês],'25. BANCO DE DADOS'!$M$20)</f>
        <v>0</v>
      </c>
      <c r="O120" s="7" t="str">
        <f>IFERROR(Tabela6[[#This Row],[25. Fat.]]/Tabela6[[#This Row],[24. Fat]],"")</f>
        <v/>
      </c>
    </row>
    <row r="121" spans="1:15" ht="15.6" x14ac:dyDescent="0.3">
      <c r="A121" s="45" t="s">
        <v>33</v>
      </c>
      <c r="B121" s="14" t="s">
        <v>103</v>
      </c>
      <c r="C121" s="15">
        <v>4948.54</v>
      </c>
      <c r="D121" s="46">
        <v>3.5730000000000002E-3</v>
      </c>
      <c r="E121" s="36"/>
      <c r="F121" s="77" t="s">
        <v>94</v>
      </c>
      <c r="G121" s="78">
        <v>357.92</v>
      </c>
      <c r="H121" s="84"/>
      <c r="I121" s="83" t="str">
        <f>IFERROR(Tabela5[[#This Row],[25. Fat.]]/Tabela5[[#This Row],[24. Fat]],"")</f>
        <v/>
      </c>
      <c r="J121" s="7"/>
      <c r="L121" s="3" t="s">
        <v>99</v>
      </c>
      <c r="M121" s="5">
        <f>SUMIFS(Tabela1[Valor],Tabela1[Empresa],Tabela6[[#This Row],[Empresa]],Tabela1[Mês],$M$20)</f>
        <v>0</v>
      </c>
      <c r="N121" s="5">
        <f>SUMIFS(Tabela18[Valor],Tabela18[Empresa],Tabela6[[#This Row],[Empresa]],Tabela18[Mês],'25. BANCO DE DADOS'!$M$20)</f>
        <v>0</v>
      </c>
      <c r="O121" s="7" t="str">
        <f>IFERROR(Tabela6[[#This Row],[25. Fat.]]/Tabela6[[#This Row],[24. Fat]],"")</f>
        <v/>
      </c>
    </row>
    <row r="122" spans="1:15" ht="15.6" x14ac:dyDescent="0.3">
      <c r="A122" s="45" t="s">
        <v>31</v>
      </c>
      <c r="B122" s="14" t="s">
        <v>103</v>
      </c>
      <c r="C122" s="15">
        <v>4522.05</v>
      </c>
      <c r="D122" s="46">
        <v>3.2650000000000001E-3</v>
      </c>
      <c r="E122" s="36"/>
      <c r="F122" s="77" t="s">
        <v>82</v>
      </c>
      <c r="G122" s="78">
        <v>268.88</v>
      </c>
      <c r="H122" s="84"/>
      <c r="I122" s="83" t="str">
        <f>IFERROR(Tabela5[[#This Row],[25. Fat.]]/Tabela5[[#This Row],[24. Fat]],"")</f>
        <v/>
      </c>
      <c r="J122" s="7"/>
      <c r="L122" s="3" t="s">
        <v>92</v>
      </c>
      <c r="M122" s="5">
        <f>SUMIFS(Tabela1[Valor],Tabela1[Empresa],Tabela6[[#This Row],[Empresa]],Tabela1[Mês],$M$20)</f>
        <v>0</v>
      </c>
      <c r="N122" s="5">
        <f>SUMIFS(Tabela18[Valor],Tabela18[Empresa],Tabela6[[#This Row],[Empresa]],Tabela18[Mês],'25. BANCO DE DADOS'!$M$20)</f>
        <v>0</v>
      </c>
      <c r="O122" s="7" t="str">
        <f>IFERROR(Tabela6[[#This Row],[25. Fat.]]/Tabela6[[#This Row],[24. Fat]],"")</f>
        <v/>
      </c>
    </row>
    <row r="123" spans="1:15" ht="15.6" x14ac:dyDescent="0.3">
      <c r="A123" s="45" t="s">
        <v>63</v>
      </c>
      <c r="B123" s="14" t="s">
        <v>103</v>
      </c>
      <c r="C123" s="15">
        <v>4288.1400000000003</v>
      </c>
      <c r="D123" s="46">
        <v>3.0969999999999999E-3</v>
      </c>
      <c r="E123" s="36"/>
      <c r="F123" s="77" t="s">
        <v>170</v>
      </c>
      <c r="G123" s="78">
        <v>250.73</v>
      </c>
      <c r="H123" s="85"/>
      <c r="I123" s="83" t="str">
        <f>IFERROR(Tabela5[[#This Row],[25. Fat.]]/Tabela5[[#This Row],[24. Fat]],"")</f>
        <v/>
      </c>
      <c r="J123"/>
    </row>
    <row r="124" spans="1:15" ht="15.6" x14ac:dyDescent="0.3">
      <c r="A124" s="45" t="s">
        <v>25</v>
      </c>
      <c r="B124" s="14" t="s">
        <v>103</v>
      </c>
      <c r="C124" s="15">
        <v>4138.95</v>
      </c>
      <c r="D124" s="46">
        <v>2.9889999999999999E-3</v>
      </c>
      <c r="E124" s="36"/>
      <c r="F124" s="77" t="s">
        <v>97</v>
      </c>
      <c r="G124" s="78">
        <v>226.41</v>
      </c>
      <c r="H124" s="85"/>
      <c r="I124" s="83" t="str">
        <f>IFERROR(Tabela5[[#This Row],[25. Fat.]]/Tabela5[[#This Row],[24. Fat]],"")</f>
        <v/>
      </c>
      <c r="J124"/>
    </row>
    <row r="125" spans="1:15" ht="15.6" x14ac:dyDescent="0.3">
      <c r="A125" s="45" t="s">
        <v>32</v>
      </c>
      <c r="B125" s="14" t="s">
        <v>103</v>
      </c>
      <c r="C125" s="15">
        <v>4129.68</v>
      </c>
      <c r="D125" s="46">
        <v>2.9820000000000003E-3</v>
      </c>
      <c r="E125" s="36"/>
      <c r="F125" s="77" t="s">
        <v>85</v>
      </c>
      <c r="G125" s="78">
        <v>159.30000000000001</v>
      </c>
      <c r="H125" s="85"/>
      <c r="I125" s="83" t="str">
        <f>IFERROR(Tabela5[[#This Row],[25. Fat.]]/Tabela5[[#This Row],[24. Fat]],"")</f>
        <v/>
      </c>
      <c r="J125"/>
    </row>
    <row r="126" spans="1:15" ht="15.6" x14ac:dyDescent="0.3">
      <c r="A126" s="45" t="s">
        <v>38</v>
      </c>
      <c r="B126" s="14" t="s">
        <v>103</v>
      </c>
      <c r="C126" s="15">
        <v>2823.9</v>
      </c>
      <c r="D126" s="46">
        <v>2.039E-3</v>
      </c>
      <c r="E126" s="36"/>
      <c r="F126" s="77" t="s">
        <v>171</v>
      </c>
      <c r="G126" s="78">
        <v>136.30000000000001</v>
      </c>
      <c r="H126" s="85"/>
      <c r="I126" s="83" t="str">
        <f>IFERROR(Tabela5[[#This Row],[25. Fat.]]/Tabela5[[#This Row],[24. Fat]],"")</f>
        <v/>
      </c>
      <c r="J126"/>
    </row>
    <row r="127" spans="1:15" ht="15.6" x14ac:dyDescent="0.3">
      <c r="A127" s="45" t="s">
        <v>29</v>
      </c>
      <c r="B127" s="14" t="s">
        <v>103</v>
      </c>
      <c r="C127" s="15">
        <v>2822.28</v>
      </c>
      <c r="D127" s="46">
        <v>2.0379999999999999E-3</v>
      </c>
      <c r="E127" s="36"/>
      <c r="F127" s="77" t="s">
        <v>135</v>
      </c>
      <c r="G127" s="78">
        <v>72.44</v>
      </c>
      <c r="H127" s="85"/>
      <c r="I127" s="83" t="str">
        <f>IFERROR(Tabela5[[#This Row],[25. Fat.]]/Tabela5[[#This Row],[24. Fat]],"")</f>
        <v/>
      </c>
      <c r="J127"/>
    </row>
    <row r="128" spans="1:15" ht="15.6" x14ac:dyDescent="0.3">
      <c r="A128" s="45" t="s">
        <v>74</v>
      </c>
      <c r="B128" s="14" t="s">
        <v>103</v>
      </c>
      <c r="C128" s="15">
        <v>2704.22</v>
      </c>
      <c r="D128" s="46">
        <v>1.9530000000000001E-3</v>
      </c>
      <c r="E128" s="36"/>
      <c r="F128" s="77" t="s">
        <v>98</v>
      </c>
      <c r="G128" s="78">
        <v>55.32</v>
      </c>
      <c r="H128" s="85"/>
      <c r="I128" s="83" t="str">
        <f>IFERROR(Tabela5[[#This Row],[25. Fat.]]/Tabela5[[#This Row],[24. Fat]],"")</f>
        <v/>
      </c>
      <c r="J128"/>
    </row>
    <row r="129" spans="1:10" ht="15.6" x14ac:dyDescent="0.3">
      <c r="A129" s="45" t="s">
        <v>90</v>
      </c>
      <c r="B129" s="14" t="s">
        <v>103</v>
      </c>
      <c r="C129" s="15">
        <v>2545.71</v>
      </c>
      <c r="D129" s="46">
        <v>1.838E-3</v>
      </c>
      <c r="E129" s="36"/>
      <c r="F129" s="77" t="s">
        <v>132</v>
      </c>
      <c r="G129" s="78">
        <v>37.61</v>
      </c>
      <c r="H129" s="85"/>
      <c r="I129" s="83" t="str">
        <f>IFERROR(Tabela5[[#This Row],[25. Fat.]]/Tabela5[[#This Row],[24. Fat]],"")</f>
        <v/>
      </c>
      <c r="J129"/>
    </row>
    <row r="130" spans="1:10" ht="15.6" x14ac:dyDescent="0.3">
      <c r="A130" s="45" t="s">
        <v>34</v>
      </c>
      <c r="B130" s="14" t="s">
        <v>103</v>
      </c>
      <c r="C130" s="15">
        <v>2527.23</v>
      </c>
      <c r="D130" s="46">
        <v>1.825E-3</v>
      </c>
      <c r="E130" s="36"/>
      <c r="F130" s="77" t="s">
        <v>100</v>
      </c>
      <c r="G130" s="78">
        <v>29.26</v>
      </c>
      <c r="H130" s="85"/>
      <c r="I130" s="83" t="str">
        <f>IFERROR(Tabela5[[#This Row],[25. Fat.]]/Tabela5[[#This Row],[24. Fat]],"")</f>
        <v/>
      </c>
      <c r="J130"/>
    </row>
    <row r="131" spans="1:10" ht="15.6" x14ac:dyDescent="0.3">
      <c r="A131" s="45" t="s">
        <v>39</v>
      </c>
      <c r="B131" s="14" t="s">
        <v>103</v>
      </c>
      <c r="C131" s="15">
        <v>2473.71</v>
      </c>
      <c r="D131" s="46">
        <v>1.786E-3</v>
      </c>
      <c r="E131" s="36"/>
      <c r="F131" s="77" t="s">
        <v>86</v>
      </c>
      <c r="G131" s="78">
        <v>29.24</v>
      </c>
      <c r="H131" s="85"/>
      <c r="I131" s="83" t="str">
        <f>IFERROR(Tabela5[[#This Row],[25. Fat.]]/Tabela5[[#This Row],[24. Fat]],"")</f>
        <v/>
      </c>
      <c r="J131"/>
    </row>
    <row r="132" spans="1:10" ht="15.6" x14ac:dyDescent="0.3">
      <c r="A132" s="45" t="s">
        <v>52</v>
      </c>
      <c r="B132" s="14" t="s">
        <v>103</v>
      </c>
      <c r="C132" s="15">
        <v>2420.2199999999998</v>
      </c>
      <c r="D132" s="46">
        <v>1.7480000000000002E-3</v>
      </c>
      <c r="E132" s="36"/>
      <c r="F132" s="77" t="s">
        <v>99</v>
      </c>
      <c r="G132" s="78">
        <v>16.87</v>
      </c>
      <c r="H132" s="85"/>
      <c r="I132" s="83" t="str">
        <f>IFERROR(Tabela5[[#This Row],[25. Fat.]]/Tabela5[[#This Row],[24. Fat]],"")</f>
        <v/>
      </c>
      <c r="J132"/>
    </row>
    <row r="133" spans="1:10" ht="15.6" x14ac:dyDescent="0.3">
      <c r="A133" s="45" t="s">
        <v>45</v>
      </c>
      <c r="B133" s="14" t="s">
        <v>103</v>
      </c>
      <c r="C133" s="15">
        <v>2286.84</v>
      </c>
      <c r="D133" s="46">
        <v>1.6509999999999999E-3</v>
      </c>
      <c r="E133" s="36"/>
      <c r="F133" s="77" t="s">
        <v>147</v>
      </c>
      <c r="G133" s="78">
        <v>8.99</v>
      </c>
      <c r="H133" s="85"/>
      <c r="I133" s="83" t="str">
        <f>IFERROR(Tabela5[[#This Row],[25. Fat.]]/Tabela5[[#This Row],[24. Fat]],"")</f>
        <v/>
      </c>
      <c r="J133"/>
    </row>
    <row r="134" spans="1:10" ht="15.6" x14ac:dyDescent="0.3">
      <c r="A134" s="45" t="s">
        <v>61</v>
      </c>
      <c r="B134" s="14" t="s">
        <v>103</v>
      </c>
      <c r="C134" s="15">
        <v>1934.67</v>
      </c>
      <c r="D134" s="46">
        <v>1.3969999999999998E-3</v>
      </c>
      <c r="E134" s="36"/>
      <c r="G134" s="33"/>
      <c r="H134"/>
      <c r="I134"/>
      <c r="J134"/>
    </row>
    <row r="135" spans="1:10" ht="15.6" x14ac:dyDescent="0.3">
      <c r="A135" s="45" t="s">
        <v>43</v>
      </c>
      <c r="B135" s="14" t="s">
        <v>103</v>
      </c>
      <c r="C135" s="15">
        <v>1840.74</v>
      </c>
      <c r="D135" s="46">
        <v>1.3289999999999999E-3</v>
      </c>
      <c r="E135" s="36"/>
      <c r="G135" s="33"/>
      <c r="H135"/>
      <c r="I135"/>
      <c r="J135"/>
    </row>
    <row r="136" spans="1:10" ht="15.6" x14ac:dyDescent="0.3">
      <c r="A136" s="45" t="s">
        <v>27</v>
      </c>
      <c r="B136" s="14" t="s">
        <v>103</v>
      </c>
      <c r="C136" s="15">
        <v>1724.93</v>
      </c>
      <c r="D136" s="46">
        <v>1.2459999999999999E-3</v>
      </c>
      <c r="E136" s="36"/>
      <c r="G136" s="33"/>
      <c r="H136"/>
      <c r="I136"/>
      <c r="J136"/>
    </row>
    <row r="137" spans="1:10" ht="15.6" x14ac:dyDescent="0.3">
      <c r="A137" s="45" t="s">
        <v>50</v>
      </c>
      <c r="B137" s="14" t="s">
        <v>103</v>
      </c>
      <c r="C137" s="15">
        <v>1691.6</v>
      </c>
      <c r="D137" s="46">
        <v>1.222E-3</v>
      </c>
      <c r="E137" s="36"/>
      <c r="G137" s="33"/>
      <c r="H137"/>
      <c r="I137"/>
      <c r="J137"/>
    </row>
    <row r="138" spans="1:10" ht="15.6" x14ac:dyDescent="0.3">
      <c r="A138" s="45" t="s">
        <v>40</v>
      </c>
      <c r="B138" s="14" t="s">
        <v>103</v>
      </c>
      <c r="C138" s="15">
        <v>1526.5</v>
      </c>
      <c r="D138" s="46">
        <v>1.1020000000000001E-3</v>
      </c>
      <c r="E138" s="36"/>
      <c r="G138" s="33"/>
      <c r="H138"/>
      <c r="I138"/>
      <c r="J138"/>
    </row>
    <row r="139" spans="1:10" ht="15.6" x14ac:dyDescent="0.3">
      <c r="A139" s="45" t="s">
        <v>35</v>
      </c>
      <c r="B139" s="14" t="s">
        <v>103</v>
      </c>
      <c r="C139" s="15">
        <v>1482.92</v>
      </c>
      <c r="D139" s="46">
        <v>1.0709999999999999E-3</v>
      </c>
      <c r="E139" s="36"/>
      <c r="G139" s="33"/>
      <c r="H139"/>
      <c r="I139"/>
      <c r="J139"/>
    </row>
    <row r="140" spans="1:10" ht="15.6" x14ac:dyDescent="0.3">
      <c r="A140" s="45" t="s">
        <v>47</v>
      </c>
      <c r="B140" s="14" t="s">
        <v>103</v>
      </c>
      <c r="C140" s="15">
        <v>1370.13</v>
      </c>
      <c r="D140" s="46">
        <v>9.8900000000000008E-4</v>
      </c>
      <c r="E140" s="36"/>
      <c r="G140" s="33"/>
      <c r="H140"/>
      <c r="I140"/>
      <c r="J140"/>
    </row>
    <row r="141" spans="1:10" ht="15.6" x14ac:dyDescent="0.3">
      <c r="A141" s="45" t="s">
        <v>48</v>
      </c>
      <c r="B141" s="14" t="s">
        <v>103</v>
      </c>
      <c r="C141" s="15">
        <v>1169.55</v>
      </c>
      <c r="D141" s="46">
        <v>8.4500000000000005E-4</v>
      </c>
      <c r="E141" s="36"/>
      <c r="G141" s="33"/>
      <c r="H141"/>
      <c r="I141"/>
      <c r="J141"/>
    </row>
    <row r="142" spans="1:10" ht="15.6" x14ac:dyDescent="0.3">
      <c r="A142" s="45" t="s">
        <v>59</v>
      </c>
      <c r="B142" s="14" t="s">
        <v>103</v>
      </c>
      <c r="C142" s="15">
        <v>1010.29</v>
      </c>
      <c r="D142" s="46">
        <v>7.2999999999999996E-4</v>
      </c>
      <c r="E142" s="36"/>
      <c r="G142" s="33"/>
      <c r="H142"/>
      <c r="I142"/>
      <c r="J142"/>
    </row>
    <row r="143" spans="1:10" ht="15.6" x14ac:dyDescent="0.3">
      <c r="A143" s="45" t="s">
        <v>37</v>
      </c>
      <c r="B143" s="14" t="s">
        <v>103</v>
      </c>
      <c r="C143" s="15">
        <v>966.08</v>
      </c>
      <c r="D143" s="46">
        <v>6.9800000000000005E-4</v>
      </c>
      <c r="E143" s="36"/>
      <c r="G143" s="33"/>
      <c r="H143"/>
      <c r="I143"/>
      <c r="J143"/>
    </row>
    <row r="144" spans="1:10" ht="15.6" x14ac:dyDescent="0.3">
      <c r="A144" s="45" t="s">
        <v>65</v>
      </c>
      <c r="B144" s="14" t="s">
        <v>103</v>
      </c>
      <c r="C144" s="15">
        <v>880.48</v>
      </c>
      <c r="D144" s="46">
        <v>6.3600000000000006E-4</v>
      </c>
      <c r="E144" s="36"/>
      <c r="G144" s="33"/>
      <c r="H144"/>
      <c r="I144"/>
      <c r="J144"/>
    </row>
    <row r="145" spans="1:10" ht="15.6" x14ac:dyDescent="0.3">
      <c r="A145" s="45" t="s">
        <v>64</v>
      </c>
      <c r="B145" s="14" t="s">
        <v>103</v>
      </c>
      <c r="C145" s="15">
        <v>876.33</v>
      </c>
      <c r="D145" s="46">
        <v>6.3299999999999999E-4</v>
      </c>
      <c r="E145" s="36"/>
      <c r="G145" s="33"/>
      <c r="H145"/>
      <c r="I145"/>
      <c r="J145"/>
    </row>
    <row r="146" spans="1:10" ht="15.6" x14ac:dyDescent="0.3">
      <c r="A146" s="45" t="s">
        <v>54</v>
      </c>
      <c r="B146" s="14" t="s">
        <v>103</v>
      </c>
      <c r="C146" s="15">
        <v>865.71</v>
      </c>
      <c r="D146" s="46">
        <v>6.2500000000000001E-4</v>
      </c>
      <c r="E146" s="36"/>
      <c r="G146" s="33"/>
      <c r="H146"/>
      <c r="I146"/>
      <c r="J146"/>
    </row>
    <row r="147" spans="1:10" ht="15.6" x14ac:dyDescent="0.3">
      <c r="A147" s="45" t="s">
        <v>57</v>
      </c>
      <c r="B147" s="14" t="s">
        <v>103</v>
      </c>
      <c r="C147" s="15">
        <v>850.5</v>
      </c>
      <c r="D147" s="46">
        <v>6.1400000000000007E-4</v>
      </c>
      <c r="E147" s="36"/>
      <c r="G147" s="33"/>
      <c r="H147"/>
      <c r="I147"/>
      <c r="J147"/>
    </row>
    <row r="148" spans="1:10" ht="15.6" x14ac:dyDescent="0.3">
      <c r="A148" s="45" t="s">
        <v>51</v>
      </c>
      <c r="B148" s="14" t="s">
        <v>103</v>
      </c>
      <c r="C148" s="15">
        <v>643.86</v>
      </c>
      <c r="D148" s="46">
        <v>4.6499999999999997E-4</v>
      </c>
      <c r="E148" s="36"/>
      <c r="G148" s="33"/>
      <c r="H148"/>
      <c r="I148"/>
      <c r="J148"/>
    </row>
    <row r="149" spans="1:10" ht="15.6" x14ac:dyDescent="0.3">
      <c r="A149" s="45" t="s">
        <v>42</v>
      </c>
      <c r="B149" s="14" t="s">
        <v>103</v>
      </c>
      <c r="C149" s="15">
        <v>629.35</v>
      </c>
      <c r="D149" s="46">
        <v>4.5400000000000003E-4</v>
      </c>
      <c r="E149" s="36"/>
      <c r="G149" s="33"/>
      <c r="H149"/>
      <c r="I149"/>
      <c r="J149"/>
    </row>
    <row r="150" spans="1:10" ht="15.6" x14ac:dyDescent="0.3">
      <c r="A150" s="45" t="s">
        <v>55</v>
      </c>
      <c r="B150" s="14" t="s">
        <v>103</v>
      </c>
      <c r="C150" s="15">
        <v>429.09</v>
      </c>
      <c r="D150" s="46">
        <v>3.1E-4</v>
      </c>
      <c r="E150" s="36"/>
      <c r="G150" s="33"/>
      <c r="H150"/>
      <c r="I150"/>
      <c r="J150"/>
    </row>
    <row r="151" spans="1:10" ht="15.6" x14ac:dyDescent="0.3">
      <c r="A151" s="45" t="s">
        <v>60</v>
      </c>
      <c r="B151" s="14" t="s">
        <v>103</v>
      </c>
      <c r="C151" s="15">
        <v>400.58</v>
      </c>
      <c r="D151" s="46">
        <v>2.8899999999999998E-4</v>
      </c>
      <c r="E151" s="36"/>
      <c r="G151" s="33"/>
      <c r="H151"/>
      <c r="I151"/>
      <c r="J151"/>
    </row>
    <row r="152" spans="1:10" ht="15.6" x14ac:dyDescent="0.3">
      <c r="A152" s="45" t="s">
        <v>44</v>
      </c>
      <c r="B152" s="14" t="s">
        <v>103</v>
      </c>
      <c r="C152" s="15">
        <v>383.25</v>
      </c>
      <c r="D152" s="46">
        <v>2.7700000000000001E-4</v>
      </c>
      <c r="E152" s="36"/>
      <c r="G152" s="33"/>
      <c r="H152"/>
      <c r="I152"/>
      <c r="J152"/>
    </row>
    <row r="153" spans="1:10" ht="15.6" x14ac:dyDescent="0.3">
      <c r="A153" s="45" t="s">
        <v>22</v>
      </c>
      <c r="B153" s="14" t="s">
        <v>103</v>
      </c>
      <c r="C153" s="15">
        <v>375.72</v>
      </c>
      <c r="D153" s="46">
        <v>2.7099999999999997E-4</v>
      </c>
      <c r="E153" s="36"/>
      <c r="G153" s="33"/>
      <c r="H153"/>
      <c r="I153"/>
      <c r="J153"/>
    </row>
    <row r="154" spans="1:10" ht="15.6" x14ac:dyDescent="0.3">
      <c r="A154" s="45" t="s">
        <v>62</v>
      </c>
      <c r="B154" s="14" t="s">
        <v>103</v>
      </c>
      <c r="C154" s="15">
        <v>301.3</v>
      </c>
      <c r="D154" s="46">
        <v>2.1799999999999999E-4</v>
      </c>
      <c r="E154" s="36"/>
      <c r="G154" s="33"/>
      <c r="H154"/>
      <c r="I154"/>
      <c r="J154"/>
    </row>
    <row r="155" spans="1:10" ht="15.6" x14ac:dyDescent="0.3">
      <c r="A155" s="45" t="s">
        <v>53</v>
      </c>
      <c r="B155" s="14" t="s">
        <v>103</v>
      </c>
      <c r="C155" s="15">
        <v>287</v>
      </c>
      <c r="D155" s="46">
        <v>2.0699999999999999E-4</v>
      </c>
      <c r="E155" s="36"/>
      <c r="G155" s="33"/>
      <c r="H155"/>
      <c r="I155"/>
      <c r="J155"/>
    </row>
    <row r="156" spans="1:10" ht="15.6" x14ac:dyDescent="0.3">
      <c r="A156" s="45" t="s">
        <v>81</v>
      </c>
      <c r="B156" s="14" t="s">
        <v>103</v>
      </c>
      <c r="C156" s="15">
        <v>249</v>
      </c>
      <c r="D156" s="46">
        <v>1.7999999999999998E-4</v>
      </c>
      <c r="E156" s="36"/>
      <c r="G156" s="33"/>
      <c r="H156"/>
      <c r="I156"/>
      <c r="J156"/>
    </row>
    <row r="157" spans="1:10" ht="15.6" x14ac:dyDescent="0.3">
      <c r="A157" s="45" t="s">
        <v>72</v>
      </c>
      <c r="B157" s="14" t="s">
        <v>103</v>
      </c>
      <c r="C157" s="15">
        <v>233.87</v>
      </c>
      <c r="D157" s="46">
        <v>1.6899999999999999E-4</v>
      </c>
      <c r="E157" s="36"/>
      <c r="G157" s="33"/>
      <c r="H157"/>
      <c r="I157"/>
      <c r="J157"/>
    </row>
    <row r="158" spans="1:10" ht="15.6" x14ac:dyDescent="0.3">
      <c r="A158" s="45" t="s">
        <v>46</v>
      </c>
      <c r="B158" s="14" t="s">
        <v>103</v>
      </c>
      <c r="C158" s="15">
        <v>200.46</v>
      </c>
      <c r="D158" s="46">
        <v>1.45E-4</v>
      </c>
      <c r="E158" s="36"/>
      <c r="G158" s="33"/>
      <c r="H158"/>
      <c r="I158"/>
      <c r="J158"/>
    </row>
    <row r="159" spans="1:10" ht="15.6" x14ac:dyDescent="0.3">
      <c r="A159" s="45" t="s">
        <v>49</v>
      </c>
      <c r="B159" s="14" t="s">
        <v>103</v>
      </c>
      <c r="C159" s="15">
        <v>200.4</v>
      </c>
      <c r="D159" s="46">
        <v>1.45E-4</v>
      </c>
      <c r="E159" s="36"/>
      <c r="G159" s="33"/>
      <c r="H159"/>
      <c r="I159"/>
      <c r="J159"/>
    </row>
    <row r="160" spans="1:10" ht="15.6" x14ac:dyDescent="0.3">
      <c r="A160" s="45" t="s">
        <v>58</v>
      </c>
      <c r="B160" s="14" t="s">
        <v>103</v>
      </c>
      <c r="C160" s="15">
        <v>200.38</v>
      </c>
      <c r="D160" s="46">
        <v>1.45E-4</v>
      </c>
      <c r="E160" s="36"/>
      <c r="G160" s="33"/>
      <c r="H160"/>
      <c r="I160"/>
      <c r="J160"/>
    </row>
    <row r="161" spans="1:10" ht="15.6" x14ac:dyDescent="0.3">
      <c r="A161" s="45" t="s">
        <v>76</v>
      </c>
      <c r="B161" s="14" t="s">
        <v>103</v>
      </c>
      <c r="C161" s="15">
        <v>196.82</v>
      </c>
      <c r="D161" s="46">
        <v>1.4200000000000001E-4</v>
      </c>
      <c r="E161" s="36"/>
      <c r="G161" s="33"/>
      <c r="H161"/>
      <c r="I161"/>
      <c r="J161"/>
    </row>
    <row r="162" spans="1:10" ht="15.6" x14ac:dyDescent="0.3">
      <c r="A162" s="45" t="s">
        <v>68</v>
      </c>
      <c r="B162" s="14" t="s">
        <v>103</v>
      </c>
      <c r="C162" s="15">
        <v>179.5</v>
      </c>
      <c r="D162" s="46">
        <v>1.2999999999999999E-4</v>
      </c>
      <c r="E162" s="36"/>
      <c r="G162" s="33"/>
      <c r="H162"/>
      <c r="I162"/>
      <c r="J162"/>
    </row>
    <row r="163" spans="1:10" ht="15.6" x14ac:dyDescent="0.3">
      <c r="A163" s="45" t="s">
        <v>77</v>
      </c>
      <c r="B163" s="14" t="s">
        <v>103</v>
      </c>
      <c r="C163" s="15">
        <v>165.25</v>
      </c>
      <c r="D163" s="46">
        <v>1.1900000000000001E-4</v>
      </c>
      <c r="E163" s="36"/>
      <c r="G163" s="33"/>
      <c r="H163"/>
      <c r="I163"/>
      <c r="J163"/>
    </row>
    <row r="164" spans="1:10" ht="15.6" x14ac:dyDescent="0.3">
      <c r="A164" s="45" t="s">
        <v>91</v>
      </c>
      <c r="B164" s="14" t="s">
        <v>103</v>
      </c>
      <c r="C164" s="15">
        <v>163.41999999999999</v>
      </c>
      <c r="D164" s="46">
        <v>1.18E-4</v>
      </c>
      <c r="E164" s="36"/>
      <c r="G164" s="33"/>
      <c r="H164"/>
      <c r="I164"/>
      <c r="J164"/>
    </row>
    <row r="165" spans="1:10" ht="15.6" x14ac:dyDescent="0.3">
      <c r="A165" s="45" t="s">
        <v>66</v>
      </c>
      <c r="B165" s="14" t="s">
        <v>103</v>
      </c>
      <c r="C165" s="15">
        <v>161.94</v>
      </c>
      <c r="D165" s="46">
        <v>1.17E-4</v>
      </c>
      <c r="E165" s="36"/>
      <c r="G165" s="33"/>
      <c r="H165"/>
      <c r="I165"/>
      <c r="J165"/>
    </row>
    <row r="166" spans="1:10" ht="15.6" x14ac:dyDescent="0.3">
      <c r="A166" s="45" t="s">
        <v>92</v>
      </c>
      <c r="B166" s="14" t="s">
        <v>103</v>
      </c>
      <c r="C166" s="15">
        <v>154.97</v>
      </c>
      <c r="D166" s="46">
        <v>1.12E-4</v>
      </c>
      <c r="E166" s="36"/>
      <c r="G166" s="33"/>
      <c r="H166"/>
      <c r="I166"/>
      <c r="J166"/>
    </row>
    <row r="167" spans="1:10" ht="15.6" x14ac:dyDescent="0.3">
      <c r="A167" s="45" t="s">
        <v>71</v>
      </c>
      <c r="B167" s="14" t="s">
        <v>103</v>
      </c>
      <c r="C167" s="15">
        <v>120.69</v>
      </c>
      <c r="D167" s="46">
        <v>8.7000000000000001E-5</v>
      </c>
      <c r="E167" s="36"/>
      <c r="G167" s="33"/>
      <c r="H167"/>
      <c r="I167"/>
      <c r="J167"/>
    </row>
    <row r="168" spans="1:10" ht="15.6" x14ac:dyDescent="0.3">
      <c r="A168" s="45" t="s">
        <v>88</v>
      </c>
      <c r="B168" s="14" t="s">
        <v>103</v>
      </c>
      <c r="C168" s="15">
        <v>115.52</v>
      </c>
      <c r="D168" s="46">
        <v>8.2999999999999998E-5</v>
      </c>
      <c r="E168" s="36"/>
      <c r="G168" s="33"/>
      <c r="H168"/>
      <c r="I168"/>
      <c r="J168"/>
    </row>
    <row r="169" spans="1:10" ht="15.6" x14ac:dyDescent="0.3">
      <c r="A169" s="45" t="s">
        <v>83</v>
      </c>
      <c r="B169" s="14" t="s">
        <v>103</v>
      </c>
      <c r="C169" s="15">
        <v>91.24</v>
      </c>
      <c r="D169" s="46">
        <v>6.6000000000000005E-5</v>
      </c>
      <c r="E169" s="36"/>
      <c r="G169" s="33"/>
      <c r="H169"/>
      <c r="I169"/>
      <c r="J169"/>
    </row>
    <row r="170" spans="1:10" ht="15.6" x14ac:dyDescent="0.3">
      <c r="A170" s="45" t="s">
        <v>78</v>
      </c>
      <c r="B170" s="14" t="s">
        <v>103</v>
      </c>
      <c r="C170" s="15">
        <v>90.15</v>
      </c>
      <c r="D170" s="46">
        <v>6.4999999999999994E-5</v>
      </c>
      <c r="E170" s="36"/>
      <c r="G170" s="33"/>
      <c r="H170"/>
      <c r="I170"/>
      <c r="J170"/>
    </row>
    <row r="171" spans="1:10" ht="15.6" x14ac:dyDescent="0.3">
      <c r="A171" s="45" t="s">
        <v>70</v>
      </c>
      <c r="B171" s="14" t="s">
        <v>103</v>
      </c>
      <c r="C171" s="15">
        <v>88.56</v>
      </c>
      <c r="D171" s="46">
        <v>6.3999999999999997E-5</v>
      </c>
      <c r="E171" s="36"/>
      <c r="G171" s="33"/>
      <c r="H171"/>
      <c r="I171"/>
      <c r="J171"/>
    </row>
    <row r="172" spans="1:10" ht="15.6" x14ac:dyDescent="0.3">
      <c r="A172" s="45" t="s">
        <v>56</v>
      </c>
      <c r="B172" s="14" t="s">
        <v>103</v>
      </c>
      <c r="C172" s="15">
        <v>79.400000000000006</v>
      </c>
      <c r="D172" s="46">
        <v>5.7000000000000003E-5</v>
      </c>
      <c r="E172" s="36"/>
      <c r="G172" s="33"/>
      <c r="H172"/>
      <c r="I172"/>
      <c r="J172"/>
    </row>
    <row r="173" spans="1:10" ht="15.6" x14ac:dyDescent="0.3">
      <c r="A173" s="45" t="s">
        <v>37</v>
      </c>
      <c r="B173" s="14" t="s">
        <v>103</v>
      </c>
      <c r="C173" s="15">
        <v>79.22</v>
      </c>
      <c r="D173" s="46">
        <v>5.7000000000000003E-5</v>
      </c>
      <c r="E173" s="36"/>
      <c r="G173" s="33"/>
      <c r="H173"/>
      <c r="I173"/>
      <c r="J173"/>
    </row>
    <row r="174" spans="1:10" ht="15.6" x14ac:dyDescent="0.3">
      <c r="A174" s="45" t="s">
        <v>73</v>
      </c>
      <c r="B174" s="14" t="s">
        <v>103</v>
      </c>
      <c r="C174" s="15">
        <v>60.81</v>
      </c>
      <c r="D174" s="46">
        <v>4.4000000000000006E-5</v>
      </c>
      <c r="E174" s="36"/>
      <c r="G174" s="33"/>
      <c r="H174"/>
      <c r="I174"/>
      <c r="J174"/>
    </row>
    <row r="175" spans="1:10" ht="15.6" x14ac:dyDescent="0.3">
      <c r="A175" s="45" t="s">
        <v>75</v>
      </c>
      <c r="B175" s="14" t="s">
        <v>103</v>
      </c>
      <c r="C175" s="15">
        <v>57.06</v>
      </c>
      <c r="D175" s="46">
        <v>4.1E-5</v>
      </c>
      <c r="E175" s="36"/>
      <c r="G175" s="33"/>
      <c r="H175"/>
      <c r="I175"/>
      <c r="J175"/>
    </row>
    <row r="176" spans="1:10" ht="15.6" x14ac:dyDescent="0.3">
      <c r="A176" s="45" t="s">
        <v>93</v>
      </c>
      <c r="B176" s="14" t="s">
        <v>103</v>
      </c>
      <c r="C176" s="15">
        <v>39.9</v>
      </c>
      <c r="D176" s="46">
        <v>2.8999999999999997E-5</v>
      </c>
      <c r="E176" s="36"/>
      <c r="G176" s="33"/>
      <c r="H176"/>
      <c r="I176"/>
      <c r="J176"/>
    </row>
    <row r="177" spans="1:10" ht="15.6" x14ac:dyDescent="0.3">
      <c r="A177" s="45" t="s">
        <v>67</v>
      </c>
      <c r="B177" s="14" t="s">
        <v>103</v>
      </c>
      <c r="C177" s="15">
        <v>39.869999999999997</v>
      </c>
      <c r="D177" s="46">
        <v>2.8999999999999997E-5</v>
      </c>
      <c r="E177" s="36"/>
      <c r="G177" s="33"/>
      <c r="H177"/>
      <c r="I177"/>
      <c r="J177"/>
    </row>
    <row r="178" spans="1:10" ht="15.6" x14ac:dyDescent="0.3">
      <c r="A178" s="45" t="s">
        <v>94</v>
      </c>
      <c r="B178" s="14" t="s">
        <v>103</v>
      </c>
      <c r="C178" s="15">
        <v>24.69</v>
      </c>
      <c r="D178" s="46">
        <v>1.8E-5</v>
      </c>
      <c r="E178" s="36"/>
      <c r="G178" s="33"/>
      <c r="H178"/>
      <c r="I178"/>
      <c r="J178"/>
    </row>
    <row r="179" spans="1:10" ht="15.6" x14ac:dyDescent="0.3">
      <c r="A179" s="45" t="s">
        <v>82</v>
      </c>
      <c r="B179" s="14" t="s">
        <v>103</v>
      </c>
      <c r="C179" s="15">
        <v>13.43</v>
      </c>
      <c r="D179" s="46">
        <v>1.0000000000000001E-5</v>
      </c>
      <c r="E179" s="36"/>
      <c r="G179" s="33"/>
      <c r="H179"/>
      <c r="I179"/>
      <c r="J179"/>
    </row>
    <row r="180" spans="1:10" ht="15.6" x14ac:dyDescent="0.3">
      <c r="A180" s="45" t="s">
        <v>85</v>
      </c>
      <c r="B180" s="14" t="s">
        <v>103</v>
      </c>
      <c r="C180" s="15">
        <v>10.95</v>
      </c>
      <c r="D180" s="46">
        <v>7.9999999999999996E-6</v>
      </c>
      <c r="E180" s="36"/>
      <c r="G180" s="33"/>
      <c r="H180"/>
      <c r="I180"/>
      <c r="J180"/>
    </row>
    <row r="181" spans="1:10" ht="15.6" x14ac:dyDescent="0.3">
      <c r="A181" s="45" t="s">
        <v>1</v>
      </c>
      <c r="B181" s="14" t="s">
        <v>104</v>
      </c>
      <c r="C181" s="15">
        <v>231429.17</v>
      </c>
      <c r="D181" s="46">
        <v>0.13894100000000001</v>
      </c>
      <c r="E181" s="36"/>
      <c r="G181" s="33"/>
      <c r="H181"/>
      <c r="I181"/>
      <c r="J181"/>
    </row>
    <row r="182" spans="1:10" ht="15.6" x14ac:dyDescent="0.3">
      <c r="A182" s="45" t="s">
        <v>0</v>
      </c>
      <c r="B182" s="14" t="s">
        <v>104</v>
      </c>
      <c r="C182" s="15">
        <v>197308.25</v>
      </c>
      <c r="D182" s="46">
        <v>0.11845599999999999</v>
      </c>
      <c r="E182" s="36"/>
      <c r="G182" s="33"/>
      <c r="H182"/>
      <c r="I182"/>
      <c r="J182"/>
    </row>
    <row r="183" spans="1:10" ht="15.6" x14ac:dyDescent="0.3">
      <c r="A183" s="45" t="s">
        <v>2</v>
      </c>
      <c r="B183" s="14" t="s">
        <v>104</v>
      </c>
      <c r="C183" s="15">
        <v>164014.56</v>
      </c>
      <c r="D183" s="46">
        <v>9.8468E-2</v>
      </c>
      <c r="E183" s="36"/>
      <c r="G183" s="33"/>
      <c r="H183"/>
      <c r="I183"/>
      <c r="J183"/>
    </row>
    <row r="184" spans="1:10" ht="15.6" x14ac:dyDescent="0.3">
      <c r="A184" s="45" t="s">
        <v>4</v>
      </c>
      <c r="B184" s="14" t="s">
        <v>104</v>
      </c>
      <c r="C184" s="15">
        <v>95954.83</v>
      </c>
      <c r="D184" s="46">
        <v>5.7606999999999998E-2</v>
      </c>
      <c r="E184" s="36"/>
      <c r="G184" s="33"/>
      <c r="H184"/>
      <c r="I184"/>
      <c r="J184"/>
    </row>
    <row r="185" spans="1:10" ht="15.6" x14ac:dyDescent="0.3">
      <c r="A185" s="45" t="s">
        <v>20</v>
      </c>
      <c r="B185" s="14" t="s">
        <v>104</v>
      </c>
      <c r="C185" s="15">
        <v>93355</v>
      </c>
      <c r="D185" s="46">
        <v>5.6047E-2</v>
      </c>
      <c r="E185" s="36"/>
      <c r="G185" s="33"/>
      <c r="H185"/>
      <c r="I185"/>
      <c r="J185"/>
    </row>
    <row r="186" spans="1:10" ht="15.6" x14ac:dyDescent="0.3">
      <c r="A186" s="45" t="s">
        <v>3</v>
      </c>
      <c r="B186" s="14" t="s">
        <v>104</v>
      </c>
      <c r="C186" s="15">
        <v>92583.65</v>
      </c>
      <c r="D186" s="46">
        <v>5.5583E-2</v>
      </c>
      <c r="E186" s="36"/>
      <c r="G186" s="33"/>
      <c r="H186"/>
      <c r="I186"/>
      <c r="J186"/>
    </row>
    <row r="187" spans="1:10" ht="15.6" x14ac:dyDescent="0.3">
      <c r="A187" s="45" t="s">
        <v>8</v>
      </c>
      <c r="B187" s="14" t="s">
        <v>104</v>
      </c>
      <c r="C187" s="15">
        <v>76009.02</v>
      </c>
      <c r="D187" s="46">
        <v>4.5633E-2</v>
      </c>
      <c r="E187" s="36"/>
      <c r="G187" s="33"/>
      <c r="H187"/>
      <c r="I187"/>
      <c r="J187"/>
    </row>
    <row r="188" spans="1:10" ht="15.6" x14ac:dyDescent="0.3">
      <c r="A188" s="45" t="s">
        <v>12</v>
      </c>
      <c r="B188" s="14" t="s">
        <v>104</v>
      </c>
      <c r="C188" s="15">
        <v>64249.43</v>
      </c>
      <c r="D188" s="46">
        <v>3.8572999999999996E-2</v>
      </c>
      <c r="E188" s="36"/>
      <c r="G188" s="33"/>
      <c r="H188"/>
      <c r="I188"/>
      <c r="J188"/>
    </row>
    <row r="189" spans="1:10" ht="15.6" x14ac:dyDescent="0.3">
      <c r="A189" s="45" t="s">
        <v>5</v>
      </c>
      <c r="B189" s="14" t="s">
        <v>104</v>
      </c>
      <c r="C189" s="15">
        <v>59732.35</v>
      </c>
      <c r="D189" s="46">
        <v>3.5861000000000004E-2</v>
      </c>
      <c r="E189" s="36"/>
      <c r="G189" s="33"/>
      <c r="H189"/>
      <c r="I189"/>
      <c r="J189"/>
    </row>
    <row r="190" spans="1:10" ht="15.6" x14ac:dyDescent="0.3">
      <c r="A190" s="45" t="s">
        <v>14</v>
      </c>
      <c r="B190" s="14" t="s">
        <v>104</v>
      </c>
      <c r="C190" s="15">
        <v>54729.88</v>
      </c>
      <c r="D190" s="46">
        <v>3.2857999999999998E-2</v>
      </c>
      <c r="E190" s="36"/>
      <c r="G190" s="33"/>
      <c r="H190"/>
      <c r="I190"/>
      <c r="J190"/>
    </row>
    <row r="191" spans="1:10" ht="15.6" x14ac:dyDescent="0.3">
      <c r="A191" s="45" t="s">
        <v>10</v>
      </c>
      <c r="B191" s="14" t="s">
        <v>104</v>
      </c>
      <c r="C191" s="15">
        <v>51626.58</v>
      </c>
      <c r="D191" s="46">
        <v>3.0994000000000001E-2</v>
      </c>
      <c r="E191" s="36"/>
      <c r="G191" s="33"/>
      <c r="H191"/>
      <c r="I191"/>
      <c r="J191"/>
    </row>
    <row r="192" spans="1:10" ht="15.6" x14ac:dyDescent="0.3">
      <c r="A192" s="45" t="s">
        <v>6</v>
      </c>
      <c r="B192" s="14" t="s">
        <v>104</v>
      </c>
      <c r="C192" s="15">
        <v>49518.66</v>
      </c>
      <c r="D192" s="46">
        <v>2.9729000000000002E-2</v>
      </c>
      <c r="E192" s="36"/>
      <c r="G192" s="33"/>
      <c r="H192"/>
      <c r="I192"/>
      <c r="J192"/>
    </row>
    <row r="193" spans="1:10" ht="15.6" x14ac:dyDescent="0.3">
      <c r="A193" s="45" t="s">
        <v>17</v>
      </c>
      <c r="B193" s="14" t="s">
        <v>104</v>
      </c>
      <c r="C193" s="15">
        <v>41116.44</v>
      </c>
      <c r="D193" s="46">
        <v>2.4685000000000002E-2</v>
      </c>
      <c r="E193" s="36"/>
      <c r="G193" s="33"/>
      <c r="H193"/>
      <c r="I193"/>
      <c r="J193"/>
    </row>
    <row r="194" spans="1:10" ht="15.6" x14ac:dyDescent="0.3">
      <c r="A194" s="45" t="s">
        <v>9</v>
      </c>
      <c r="B194" s="14" t="s">
        <v>104</v>
      </c>
      <c r="C194" s="15">
        <v>41095.29</v>
      </c>
      <c r="D194" s="46">
        <v>2.4671999999999999E-2</v>
      </c>
      <c r="E194" s="36"/>
      <c r="G194" s="33"/>
      <c r="H194"/>
      <c r="I194"/>
      <c r="J194"/>
    </row>
    <row r="195" spans="1:10" ht="15.6" x14ac:dyDescent="0.3">
      <c r="A195" s="45" t="s">
        <v>11</v>
      </c>
      <c r="B195" s="14" t="s">
        <v>104</v>
      </c>
      <c r="C195" s="15">
        <v>39754.92</v>
      </c>
      <c r="D195" s="46">
        <v>2.3866999999999999E-2</v>
      </c>
      <c r="E195" s="36"/>
      <c r="G195" s="33"/>
      <c r="H195"/>
      <c r="I195"/>
      <c r="J195"/>
    </row>
    <row r="196" spans="1:10" ht="15.6" x14ac:dyDescent="0.3">
      <c r="A196" s="45" t="s">
        <v>18</v>
      </c>
      <c r="B196" s="14" t="s">
        <v>104</v>
      </c>
      <c r="C196" s="15">
        <v>33080.47</v>
      </c>
      <c r="D196" s="46">
        <v>1.9859999999999999E-2</v>
      </c>
      <c r="E196" s="36"/>
      <c r="G196" s="33"/>
      <c r="H196"/>
      <c r="I196"/>
      <c r="J196"/>
    </row>
    <row r="197" spans="1:10" ht="15.6" x14ac:dyDescent="0.3">
      <c r="A197" s="45" t="s">
        <v>13</v>
      </c>
      <c r="B197" s="14" t="s">
        <v>104</v>
      </c>
      <c r="C197" s="15">
        <v>32945.15</v>
      </c>
      <c r="D197" s="46">
        <v>1.9779000000000001E-2</v>
      </c>
      <c r="E197" s="36"/>
      <c r="G197" s="33"/>
      <c r="H197"/>
      <c r="I197"/>
      <c r="J197"/>
    </row>
    <row r="198" spans="1:10" ht="15.6" x14ac:dyDescent="0.3">
      <c r="A198" s="45" t="s">
        <v>7</v>
      </c>
      <c r="B198" s="14" t="s">
        <v>104</v>
      </c>
      <c r="C198" s="15">
        <v>31422.07</v>
      </c>
      <c r="D198" s="46">
        <v>1.8865E-2</v>
      </c>
      <c r="E198" s="36"/>
      <c r="G198" s="33"/>
      <c r="H198"/>
      <c r="I198"/>
      <c r="J198"/>
    </row>
    <row r="199" spans="1:10" ht="15.6" x14ac:dyDescent="0.3">
      <c r="A199" s="45" t="s">
        <v>26</v>
      </c>
      <c r="B199" s="14" t="s">
        <v>104</v>
      </c>
      <c r="C199" s="15">
        <v>22317.73</v>
      </c>
      <c r="D199" s="46">
        <v>1.3399000000000001E-2</v>
      </c>
      <c r="E199" s="36"/>
      <c r="G199" s="33"/>
      <c r="H199"/>
      <c r="I199"/>
      <c r="J199"/>
    </row>
    <row r="200" spans="1:10" ht="15.6" x14ac:dyDescent="0.3">
      <c r="A200" s="45" t="s">
        <v>16</v>
      </c>
      <c r="B200" s="14" t="s">
        <v>104</v>
      </c>
      <c r="C200" s="15">
        <v>21783.09</v>
      </c>
      <c r="D200" s="46">
        <v>1.3078000000000001E-2</v>
      </c>
      <c r="E200" s="36"/>
      <c r="G200" s="33"/>
      <c r="H200"/>
      <c r="I200"/>
      <c r="J200"/>
    </row>
    <row r="201" spans="1:10" ht="15.6" x14ac:dyDescent="0.3">
      <c r="A201" s="45" t="s">
        <v>24</v>
      </c>
      <c r="B201" s="14" t="s">
        <v>104</v>
      </c>
      <c r="C201" s="15">
        <v>19742.88</v>
      </c>
      <c r="D201" s="46">
        <v>1.1853000000000001E-2</v>
      </c>
      <c r="E201" s="36"/>
      <c r="G201" s="33"/>
      <c r="H201"/>
      <c r="I201"/>
      <c r="J201"/>
    </row>
    <row r="202" spans="1:10" ht="15.6" x14ac:dyDescent="0.3">
      <c r="A202" s="45" t="s">
        <v>19</v>
      </c>
      <c r="B202" s="14" t="s">
        <v>104</v>
      </c>
      <c r="C202" s="15">
        <v>18797.830000000002</v>
      </c>
      <c r="D202" s="46">
        <v>1.1285E-2</v>
      </c>
      <c r="E202" s="36"/>
      <c r="G202" s="33"/>
      <c r="H202"/>
      <c r="I202"/>
      <c r="J202"/>
    </row>
    <row r="203" spans="1:10" ht="15.6" x14ac:dyDescent="0.3">
      <c r="A203" s="45" t="s">
        <v>15</v>
      </c>
      <c r="B203" s="14" t="s">
        <v>104</v>
      </c>
      <c r="C203" s="15">
        <v>15043.9</v>
      </c>
      <c r="D203" s="46">
        <v>9.0320000000000001E-3</v>
      </c>
      <c r="E203" s="36"/>
      <c r="G203" s="33"/>
      <c r="H203"/>
      <c r="I203"/>
      <c r="J203"/>
    </row>
    <row r="204" spans="1:10" ht="15.6" x14ac:dyDescent="0.3">
      <c r="A204" s="45" t="s">
        <v>29</v>
      </c>
      <c r="B204" s="14" t="s">
        <v>104</v>
      </c>
      <c r="C204" s="15">
        <v>11361.09</v>
      </c>
      <c r="D204" s="46">
        <v>6.8210000000000007E-3</v>
      </c>
      <c r="E204" s="36"/>
      <c r="G204" s="33"/>
      <c r="H204"/>
      <c r="I204"/>
      <c r="J204"/>
    </row>
    <row r="205" spans="1:10" ht="15.6" x14ac:dyDescent="0.3">
      <c r="A205" s="45" t="s">
        <v>95</v>
      </c>
      <c r="B205" s="14" t="s">
        <v>104</v>
      </c>
      <c r="C205" s="15">
        <v>9403.7999999999993</v>
      </c>
      <c r="D205" s="46">
        <v>5.646E-3</v>
      </c>
      <c r="E205" s="36"/>
      <c r="G205" s="33"/>
      <c r="H205"/>
      <c r="I205"/>
      <c r="J205"/>
    </row>
    <row r="206" spans="1:10" ht="15.6" x14ac:dyDescent="0.3">
      <c r="A206" s="45" t="s">
        <v>21</v>
      </c>
      <c r="B206" s="14" t="s">
        <v>104</v>
      </c>
      <c r="C206" s="15">
        <v>8032.64</v>
      </c>
      <c r="D206" s="46">
        <v>4.8219999999999999E-3</v>
      </c>
      <c r="E206" s="36"/>
      <c r="G206" s="33"/>
      <c r="H206"/>
      <c r="I206"/>
      <c r="J206"/>
    </row>
    <row r="207" spans="1:10" ht="15.6" x14ac:dyDescent="0.3">
      <c r="A207" s="45" t="s">
        <v>40</v>
      </c>
      <c r="B207" s="14" t="s">
        <v>104</v>
      </c>
      <c r="C207" s="15">
        <v>7521.93</v>
      </c>
      <c r="D207" s="46">
        <v>4.516E-3</v>
      </c>
      <c r="E207" s="36"/>
      <c r="G207" s="33"/>
      <c r="H207"/>
      <c r="I207"/>
      <c r="J207"/>
    </row>
    <row r="208" spans="1:10" ht="15.6" x14ac:dyDescent="0.3">
      <c r="A208" s="45" t="s">
        <v>48</v>
      </c>
      <c r="B208" s="14" t="s">
        <v>104</v>
      </c>
      <c r="C208" s="15">
        <v>7365.94</v>
      </c>
      <c r="D208" s="46">
        <v>4.4219999999999997E-3</v>
      </c>
      <c r="E208" s="36"/>
      <c r="G208" s="33"/>
      <c r="H208"/>
      <c r="I208"/>
      <c r="J208"/>
    </row>
    <row r="209" spans="1:10" ht="15.6" x14ac:dyDescent="0.3">
      <c r="A209" s="45" t="s">
        <v>74</v>
      </c>
      <c r="B209" s="14" t="s">
        <v>104</v>
      </c>
      <c r="C209" s="15">
        <v>6753.37</v>
      </c>
      <c r="D209" s="46">
        <v>4.0539999999999994E-3</v>
      </c>
      <c r="E209" s="36"/>
      <c r="G209" s="33"/>
      <c r="H209"/>
      <c r="I209"/>
      <c r="J209"/>
    </row>
    <row r="210" spans="1:10" ht="15.6" x14ac:dyDescent="0.3">
      <c r="A210" s="45" t="s">
        <v>23</v>
      </c>
      <c r="B210" s="14" t="s">
        <v>104</v>
      </c>
      <c r="C210" s="15">
        <v>6661.01</v>
      </c>
      <c r="D210" s="46">
        <v>3.999E-3</v>
      </c>
      <c r="E210" s="36"/>
      <c r="G210" s="33"/>
      <c r="H210"/>
      <c r="I210"/>
      <c r="J210"/>
    </row>
    <row r="211" spans="1:10" ht="15.6" x14ac:dyDescent="0.3">
      <c r="A211" s="45" t="s">
        <v>28</v>
      </c>
      <c r="B211" s="14" t="s">
        <v>104</v>
      </c>
      <c r="C211" s="15">
        <v>4993.07</v>
      </c>
      <c r="D211" s="46">
        <v>2.9980000000000002E-3</v>
      </c>
      <c r="E211" s="36"/>
      <c r="G211" s="33"/>
      <c r="H211"/>
      <c r="I211"/>
      <c r="J211"/>
    </row>
    <row r="212" spans="1:10" ht="15.6" x14ac:dyDescent="0.3">
      <c r="A212" s="45" t="s">
        <v>72</v>
      </c>
      <c r="B212" s="14" t="s">
        <v>104</v>
      </c>
      <c r="C212" s="15">
        <v>4793.76</v>
      </c>
      <c r="D212" s="46">
        <v>2.8779999999999999E-3</v>
      </c>
      <c r="E212" s="36"/>
      <c r="G212" s="33"/>
      <c r="H212"/>
      <c r="I212"/>
      <c r="J212"/>
    </row>
    <row r="213" spans="1:10" ht="15.6" x14ac:dyDescent="0.3">
      <c r="A213" s="45" t="s">
        <v>39</v>
      </c>
      <c r="B213" s="14" t="s">
        <v>104</v>
      </c>
      <c r="C213" s="15">
        <v>3781.19</v>
      </c>
      <c r="D213" s="46">
        <v>2.2699999999999999E-3</v>
      </c>
      <c r="E213" s="36"/>
      <c r="G213" s="33"/>
      <c r="H213"/>
      <c r="I213"/>
      <c r="J213"/>
    </row>
    <row r="214" spans="1:10" ht="15.6" x14ac:dyDescent="0.3">
      <c r="A214" s="45" t="s">
        <v>90</v>
      </c>
      <c r="B214" s="14" t="s">
        <v>104</v>
      </c>
      <c r="C214" s="15">
        <v>3554.06</v>
      </c>
      <c r="D214" s="46">
        <v>2.134E-3</v>
      </c>
      <c r="E214" s="36"/>
      <c r="G214" s="33"/>
      <c r="H214"/>
      <c r="I214"/>
      <c r="J214"/>
    </row>
    <row r="215" spans="1:10" ht="15.6" x14ac:dyDescent="0.3">
      <c r="A215" s="45" t="s">
        <v>30</v>
      </c>
      <c r="B215" s="14" t="s">
        <v>104</v>
      </c>
      <c r="C215" s="15">
        <v>3369.18</v>
      </c>
      <c r="D215" s="46">
        <v>2.0230000000000001E-3</v>
      </c>
      <c r="E215" s="36"/>
      <c r="G215" s="33"/>
      <c r="H215"/>
      <c r="I215"/>
      <c r="J215"/>
    </row>
    <row r="216" spans="1:10" ht="15.6" x14ac:dyDescent="0.3">
      <c r="A216" s="45" t="s">
        <v>32</v>
      </c>
      <c r="B216" s="14" t="s">
        <v>104</v>
      </c>
      <c r="C216" s="15">
        <v>3053.03</v>
      </c>
      <c r="D216" s="46">
        <v>1.833E-3</v>
      </c>
      <c r="E216" s="36"/>
      <c r="G216" s="33"/>
      <c r="H216"/>
      <c r="I216"/>
      <c r="J216"/>
    </row>
    <row r="217" spans="1:10" ht="15.6" x14ac:dyDescent="0.3">
      <c r="A217" s="45" t="s">
        <v>38</v>
      </c>
      <c r="B217" s="14" t="s">
        <v>104</v>
      </c>
      <c r="C217" s="15">
        <v>2936.12</v>
      </c>
      <c r="D217" s="46">
        <v>1.763E-3</v>
      </c>
      <c r="E217" s="36"/>
      <c r="G217" s="33"/>
      <c r="H217"/>
      <c r="I217"/>
      <c r="J217"/>
    </row>
    <row r="218" spans="1:10" ht="15.6" x14ac:dyDescent="0.3">
      <c r="A218" s="45" t="s">
        <v>25</v>
      </c>
      <c r="B218" s="14" t="s">
        <v>104</v>
      </c>
      <c r="C218" s="15">
        <v>2562.4699999999998</v>
      </c>
      <c r="D218" s="46">
        <v>1.5379999999999999E-3</v>
      </c>
      <c r="E218" s="36"/>
      <c r="G218" s="33"/>
      <c r="H218"/>
      <c r="I218"/>
      <c r="J218"/>
    </row>
    <row r="219" spans="1:10" ht="15.6" x14ac:dyDescent="0.3">
      <c r="A219" s="45" t="s">
        <v>43</v>
      </c>
      <c r="B219" s="14" t="s">
        <v>104</v>
      </c>
      <c r="C219" s="15">
        <v>2394.73</v>
      </c>
      <c r="D219" s="46">
        <v>1.438E-3</v>
      </c>
      <c r="E219" s="36"/>
      <c r="G219" s="33"/>
      <c r="H219"/>
      <c r="I219"/>
      <c r="J219"/>
    </row>
    <row r="220" spans="1:10" ht="15.6" x14ac:dyDescent="0.3">
      <c r="A220" s="45" t="s">
        <v>31</v>
      </c>
      <c r="B220" s="14" t="s">
        <v>104</v>
      </c>
      <c r="C220" s="15">
        <v>2217.6799999999998</v>
      </c>
      <c r="D220" s="46">
        <v>1.3309999999999999E-3</v>
      </c>
      <c r="E220" s="36"/>
      <c r="G220" s="33"/>
      <c r="H220"/>
      <c r="I220"/>
      <c r="J220"/>
    </row>
    <row r="221" spans="1:10" ht="15.6" x14ac:dyDescent="0.3">
      <c r="A221" s="45" t="s">
        <v>61</v>
      </c>
      <c r="B221" s="14" t="s">
        <v>104</v>
      </c>
      <c r="C221" s="15">
        <v>2071.7600000000002</v>
      </c>
      <c r="D221" s="46">
        <v>1.2439999999999999E-3</v>
      </c>
      <c r="E221" s="36"/>
      <c r="G221" s="33"/>
      <c r="H221"/>
      <c r="I221"/>
      <c r="J221"/>
    </row>
    <row r="222" spans="1:10" ht="15.6" x14ac:dyDescent="0.3">
      <c r="A222" s="45" t="s">
        <v>33</v>
      </c>
      <c r="B222" s="14" t="s">
        <v>104</v>
      </c>
      <c r="C222" s="15">
        <v>2044.81</v>
      </c>
      <c r="D222" s="46">
        <v>1.2280000000000001E-3</v>
      </c>
      <c r="E222" s="36"/>
      <c r="G222" s="33"/>
      <c r="H222"/>
      <c r="I222"/>
      <c r="J222"/>
    </row>
    <row r="223" spans="1:10" ht="15.6" x14ac:dyDescent="0.3">
      <c r="A223" s="45" t="s">
        <v>41</v>
      </c>
      <c r="B223" s="14" t="s">
        <v>104</v>
      </c>
      <c r="C223" s="15">
        <v>2028.89</v>
      </c>
      <c r="D223" s="46">
        <v>1.2180000000000001E-3</v>
      </c>
      <c r="E223" s="36"/>
      <c r="G223" s="33"/>
      <c r="H223"/>
      <c r="I223"/>
      <c r="J223"/>
    </row>
    <row r="224" spans="1:10" ht="15.6" x14ac:dyDescent="0.3">
      <c r="A224" s="45" t="s">
        <v>57</v>
      </c>
      <c r="B224" s="14" t="s">
        <v>104</v>
      </c>
      <c r="C224" s="15">
        <v>1782</v>
      </c>
      <c r="D224" s="46">
        <v>1.07E-3</v>
      </c>
      <c r="E224" s="36"/>
      <c r="G224" s="33"/>
      <c r="H224"/>
      <c r="I224"/>
      <c r="J224"/>
    </row>
    <row r="225" spans="1:10" ht="15.6" x14ac:dyDescent="0.3">
      <c r="A225" s="45" t="s">
        <v>50</v>
      </c>
      <c r="B225" s="14" t="s">
        <v>104</v>
      </c>
      <c r="C225" s="15">
        <v>1582.78</v>
      </c>
      <c r="D225" s="46">
        <v>9.5E-4</v>
      </c>
      <c r="E225" s="36"/>
      <c r="G225" s="33"/>
      <c r="H225"/>
      <c r="I225"/>
      <c r="J225"/>
    </row>
    <row r="226" spans="1:10" ht="15.6" x14ac:dyDescent="0.3">
      <c r="A226" s="45" t="s">
        <v>37</v>
      </c>
      <c r="B226" s="14" t="s">
        <v>104</v>
      </c>
      <c r="C226" s="15">
        <v>1409.9</v>
      </c>
      <c r="D226" s="46">
        <v>8.4599999999999996E-4</v>
      </c>
      <c r="E226" s="36"/>
      <c r="G226" s="33"/>
      <c r="H226"/>
      <c r="I226"/>
      <c r="J226"/>
    </row>
    <row r="227" spans="1:10" ht="15.6" x14ac:dyDescent="0.3">
      <c r="A227" s="45" t="s">
        <v>64</v>
      </c>
      <c r="B227" s="14" t="s">
        <v>104</v>
      </c>
      <c r="C227" s="15">
        <v>1254.2</v>
      </c>
      <c r="D227" s="46">
        <v>7.5300000000000009E-4</v>
      </c>
      <c r="E227" s="36"/>
      <c r="G227" s="33"/>
      <c r="H227"/>
      <c r="I227"/>
      <c r="J227"/>
    </row>
    <row r="228" spans="1:10" ht="15.6" x14ac:dyDescent="0.3">
      <c r="A228" s="45" t="s">
        <v>54</v>
      </c>
      <c r="B228" s="14" t="s">
        <v>104</v>
      </c>
      <c r="C228" s="15">
        <v>1247.33</v>
      </c>
      <c r="D228" s="46">
        <v>7.4899999999999999E-4</v>
      </c>
      <c r="E228" s="36"/>
      <c r="G228" s="33"/>
      <c r="H228"/>
      <c r="I228"/>
      <c r="J228"/>
    </row>
    <row r="229" spans="1:10" ht="15.6" x14ac:dyDescent="0.3">
      <c r="A229" s="45" t="s">
        <v>45</v>
      </c>
      <c r="B229" s="14" t="s">
        <v>104</v>
      </c>
      <c r="C229" s="15">
        <v>1073.19</v>
      </c>
      <c r="D229" s="46">
        <v>6.4400000000000004E-4</v>
      </c>
      <c r="E229" s="36"/>
      <c r="G229" s="33"/>
      <c r="H229"/>
      <c r="I229"/>
      <c r="J229"/>
    </row>
    <row r="230" spans="1:10" ht="15.6" x14ac:dyDescent="0.3">
      <c r="A230" s="45" t="s">
        <v>51</v>
      </c>
      <c r="B230" s="14" t="s">
        <v>104</v>
      </c>
      <c r="C230" s="15">
        <v>873.81</v>
      </c>
      <c r="D230" s="46">
        <v>5.2499999999999997E-4</v>
      </c>
      <c r="E230" s="36"/>
      <c r="G230" s="33"/>
      <c r="H230"/>
      <c r="I230"/>
      <c r="J230"/>
    </row>
    <row r="231" spans="1:10" ht="15.6" x14ac:dyDescent="0.3">
      <c r="A231" s="45" t="s">
        <v>53</v>
      </c>
      <c r="B231" s="14" t="s">
        <v>104</v>
      </c>
      <c r="C231" s="15">
        <v>803.38</v>
      </c>
      <c r="D231" s="46">
        <v>4.8200000000000001E-4</v>
      </c>
      <c r="E231" s="36"/>
      <c r="G231" s="33"/>
      <c r="H231"/>
      <c r="I231"/>
      <c r="J231"/>
    </row>
    <row r="232" spans="1:10" ht="15.6" x14ac:dyDescent="0.3">
      <c r="A232" s="45" t="s">
        <v>34</v>
      </c>
      <c r="B232" s="14" t="s">
        <v>104</v>
      </c>
      <c r="C232" s="15">
        <v>795.5</v>
      </c>
      <c r="D232" s="46">
        <v>4.7800000000000002E-4</v>
      </c>
      <c r="E232" s="36"/>
      <c r="G232" s="33"/>
      <c r="H232"/>
      <c r="I232"/>
      <c r="J232"/>
    </row>
    <row r="233" spans="1:10" ht="15.6" x14ac:dyDescent="0.3">
      <c r="A233" s="45" t="s">
        <v>47</v>
      </c>
      <c r="B233" s="14" t="s">
        <v>104</v>
      </c>
      <c r="C233" s="15">
        <v>781.32</v>
      </c>
      <c r="D233" s="46">
        <v>4.6899999999999996E-4</v>
      </c>
      <c r="E233" s="36"/>
      <c r="G233" s="33"/>
      <c r="H233"/>
      <c r="I233"/>
      <c r="J233"/>
    </row>
    <row r="234" spans="1:10" ht="15.6" x14ac:dyDescent="0.3">
      <c r="A234" s="45" t="s">
        <v>63</v>
      </c>
      <c r="B234" s="14" t="s">
        <v>104</v>
      </c>
      <c r="C234" s="15">
        <v>737.15</v>
      </c>
      <c r="D234" s="46">
        <v>4.4299999999999998E-4</v>
      </c>
      <c r="E234" s="36"/>
      <c r="G234" s="33"/>
      <c r="H234"/>
      <c r="I234"/>
      <c r="J234"/>
    </row>
    <row r="235" spans="1:10" ht="15.6" x14ac:dyDescent="0.3">
      <c r="A235" s="45" t="s">
        <v>96</v>
      </c>
      <c r="B235" s="14" t="s">
        <v>104</v>
      </c>
      <c r="C235" s="15">
        <v>655.20000000000005</v>
      </c>
      <c r="D235" s="46">
        <v>3.9300000000000001E-4</v>
      </c>
      <c r="E235" s="36"/>
      <c r="G235" s="33"/>
      <c r="H235"/>
      <c r="I235"/>
      <c r="J235"/>
    </row>
    <row r="236" spans="1:10" ht="15.6" x14ac:dyDescent="0.3">
      <c r="A236" s="45" t="s">
        <v>55</v>
      </c>
      <c r="B236" s="14" t="s">
        <v>104</v>
      </c>
      <c r="C236" s="15">
        <v>649.65</v>
      </c>
      <c r="D236" s="46">
        <v>3.8999999999999999E-4</v>
      </c>
      <c r="E236" s="36"/>
      <c r="G236" s="33"/>
      <c r="H236"/>
      <c r="I236"/>
      <c r="J236"/>
    </row>
    <row r="237" spans="1:10" ht="15.6" x14ac:dyDescent="0.3">
      <c r="A237" s="45" t="s">
        <v>22</v>
      </c>
      <c r="B237" s="14" t="s">
        <v>104</v>
      </c>
      <c r="C237" s="15">
        <v>526.26</v>
      </c>
      <c r="D237" s="46">
        <v>3.1600000000000004E-4</v>
      </c>
      <c r="E237" s="36"/>
      <c r="G237" s="33"/>
      <c r="H237"/>
      <c r="I237"/>
      <c r="J237"/>
    </row>
    <row r="238" spans="1:10" ht="15.6" x14ac:dyDescent="0.3">
      <c r="A238" s="45" t="s">
        <v>60</v>
      </c>
      <c r="B238" s="14" t="s">
        <v>104</v>
      </c>
      <c r="C238" s="15">
        <v>503.4</v>
      </c>
      <c r="D238" s="46">
        <v>3.0200000000000002E-4</v>
      </c>
      <c r="E238" s="36"/>
      <c r="G238" s="33"/>
      <c r="H238"/>
      <c r="I238"/>
      <c r="J238"/>
    </row>
    <row r="239" spans="1:10" ht="15.6" x14ac:dyDescent="0.3">
      <c r="A239" s="45" t="s">
        <v>42</v>
      </c>
      <c r="B239" s="14" t="s">
        <v>104</v>
      </c>
      <c r="C239" s="15">
        <v>401.01</v>
      </c>
      <c r="D239" s="46">
        <v>2.41E-4</v>
      </c>
      <c r="E239" s="36"/>
      <c r="G239" s="33"/>
      <c r="H239"/>
      <c r="I239"/>
      <c r="J239"/>
    </row>
    <row r="240" spans="1:10" ht="15.6" x14ac:dyDescent="0.3">
      <c r="A240" s="45" t="s">
        <v>35</v>
      </c>
      <c r="B240" s="14" t="s">
        <v>104</v>
      </c>
      <c r="C240" s="15">
        <v>396.64</v>
      </c>
      <c r="D240" s="46">
        <v>2.3800000000000001E-4</v>
      </c>
      <c r="E240" s="36"/>
      <c r="G240" s="33"/>
      <c r="H240"/>
      <c r="I240"/>
      <c r="J240"/>
    </row>
    <row r="241" spans="1:10" ht="15.6" x14ac:dyDescent="0.3">
      <c r="A241" s="45" t="s">
        <v>65</v>
      </c>
      <c r="B241" s="14" t="s">
        <v>104</v>
      </c>
      <c r="C241" s="15">
        <v>394.9</v>
      </c>
      <c r="D241" s="46">
        <v>2.3699999999999999E-4</v>
      </c>
      <c r="E241" s="36"/>
      <c r="G241" s="33"/>
      <c r="H241"/>
      <c r="I241"/>
      <c r="J241"/>
    </row>
    <row r="242" spans="1:10" ht="15.6" x14ac:dyDescent="0.3">
      <c r="A242" s="45" t="s">
        <v>59</v>
      </c>
      <c r="B242" s="14" t="s">
        <v>104</v>
      </c>
      <c r="C242" s="15">
        <v>362.88</v>
      </c>
      <c r="D242" s="46">
        <v>2.1799999999999999E-4</v>
      </c>
      <c r="E242" s="36"/>
      <c r="G242" s="33"/>
      <c r="H242"/>
      <c r="I242"/>
      <c r="J242"/>
    </row>
    <row r="243" spans="1:10" ht="15.6" x14ac:dyDescent="0.3">
      <c r="A243" s="45" t="s">
        <v>27</v>
      </c>
      <c r="B243" s="14" t="s">
        <v>104</v>
      </c>
      <c r="C243" s="15">
        <v>361.24</v>
      </c>
      <c r="D243" s="46">
        <v>2.1700000000000002E-4</v>
      </c>
      <c r="E243" s="36"/>
      <c r="G243" s="33"/>
      <c r="H243"/>
      <c r="I243"/>
      <c r="J243"/>
    </row>
    <row r="244" spans="1:10" ht="15.6" x14ac:dyDescent="0.3">
      <c r="A244" s="45" t="s">
        <v>83</v>
      </c>
      <c r="B244" s="14" t="s">
        <v>104</v>
      </c>
      <c r="C244" s="15">
        <v>337.89</v>
      </c>
      <c r="D244" s="46">
        <v>2.0299999999999997E-4</v>
      </c>
      <c r="E244" s="36"/>
      <c r="G244" s="33"/>
      <c r="H244"/>
      <c r="I244"/>
      <c r="J244"/>
    </row>
    <row r="245" spans="1:10" ht="15.6" x14ac:dyDescent="0.3">
      <c r="A245" s="45" t="s">
        <v>52</v>
      </c>
      <c r="B245" s="14" t="s">
        <v>104</v>
      </c>
      <c r="C245" s="15">
        <v>328.34</v>
      </c>
      <c r="D245" s="46">
        <v>1.9699999999999999E-4</v>
      </c>
      <c r="E245" s="36"/>
      <c r="G245" s="33"/>
      <c r="H245"/>
      <c r="I245"/>
      <c r="J245"/>
    </row>
    <row r="246" spans="1:10" ht="15.6" x14ac:dyDescent="0.3">
      <c r="A246" s="45" t="s">
        <v>62</v>
      </c>
      <c r="B246" s="14" t="s">
        <v>104</v>
      </c>
      <c r="C246" s="15">
        <v>312.88</v>
      </c>
      <c r="D246" s="46">
        <v>1.8800000000000002E-4</v>
      </c>
      <c r="E246" s="36"/>
      <c r="G246" s="33"/>
      <c r="H246"/>
      <c r="I246"/>
      <c r="J246"/>
    </row>
    <row r="247" spans="1:10" ht="15.6" x14ac:dyDescent="0.3">
      <c r="A247" s="45" t="s">
        <v>56</v>
      </c>
      <c r="B247" s="14" t="s">
        <v>104</v>
      </c>
      <c r="C247" s="15">
        <v>297.41000000000003</v>
      </c>
      <c r="D247" s="46">
        <v>1.7899999999999999E-4</v>
      </c>
      <c r="E247" s="36"/>
      <c r="G247" s="33"/>
      <c r="H247"/>
      <c r="I247"/>
      <c r="J247"/>
    </row>
    <row r="248" spans="1:10" ht="15.6" x14ac:dyDescent="0.3">
      <c r="A248" s="45" t="s">
        <v>66</v>
      </c>
      <c r="B248" s="14" t="s">
        <v>104</v>
      </c>
      <c r="C248" s="15">
        <v>278.47000000000003</v>
      </c>
      <c r="D248" s="46">
        <v>1.6699999999999999E-4</v>
      </c>
      <c r="E248" s="36"/>
      <c r="G248" s="33"/>
      <c r="H248"/>
      <c r="I248"/>
      <c r="J248"/>
    </row>
    <row r="249" spans="1:10" ht="15.6" x14ac:dyDescent="0.3">
      <c r="A249" s="45" t="s">
        <v>44</v>
      </c>
      <c r="B249" s="14" t="s">
        <v>104</v>
      </c>
      <c r="C249" s="15">
        <v>277.18</v>
      </c>
      <c r="D249" s="46">
        <v>1.66E-4</v>
      </c>
      <c r="E249" s="36"/>
      <c r="G249" s="33"/>
      <c r="H249"/>
      <c r="I249"/>
      <c r="J249"/>
    </row>
    <row r="250" spans="1:10" ht="15.6" x14ac:dyDescent="0.3">
      <c r="A250" s="45" t="s">
        <v>91</v>
      </c>
      <c r="B250" s="14" t="s">
        <v>104</v>
      </c>
      <c r="C250" s="15">
        <v>265.2</v>
      </c>
      <c r="D250" s="46">
        <v>1.5900000000000002E-4</v>
      </c>
      <c r="E250" s="36"/>
      <c r="G250" s="33"/>
      <c r="H250"/>
      <c r="I250"/>
      <c r="J250"/>
    </row>
    <row r="251" spans="1:10" ht="15.6" x14ac:dyDescent="0.3">
      <c r="A251" s="45" t="s">
        <v>80</v>
      </c>
      <c r="B251" s="14" t="s">
        <v>104</v>
      </c>
      <c r="C251" s="15">
        <v>257.02</v>
      </c>
      <c r="D251" s="46">
        <v>1.54E-4</v>
      </c>
      <c r="E251" s="36"/>
      <c r="G251" s="33"/>
      <c r="H251"/>
      <c r="I251"/>
      <c r="J251"/>
    </row>
    <row r="252" spans="1:10" ht="15.6" x14ac:dyDescent="0.3">
      <c r="A252" s="45" t="s">
        <v>84</v>
      </c>
      <c r="B252" s="14" t="s">
        <v>104</v>
      </c>
      <c r="C252" s="15">
        <v>233.28</v>
      </c>
      <c r="D252" s="46">
        <v>1.4000000000000001E-4</v>
      </c>
      <c r="E252" s="36"/>
      <c r="G252" s="33"/>
      <c r="H252"/>
      <c r="I252"/>
      <c r="J252"/>
    </row>
    <row r="253" spans="1:10" ht="15.6" x14ac:dyDescent="0.3">
      <c r="A253" s="45" t="s">
        <v>46</v>
      </c>
      <c r="B253" s="14" t="s">
        <v>104</v>
      </c>
      <c r="C253" s="15">
        <v>208.08</v>
      </c>
      <c r="D253" s="46">
        <v>1.25E-4</v>
      </c>
      <c r="E253" s="36"/>
      <c r="G253" s="33"/>
      <c r="H253"/>
      <c r="I253"/>
      <c r="J253"/>
    </row>
    <row r="254" spans="1:10" ht="15.6" x14ac:dyDescent="0.3">
      <c r="A254" s="45" t="s">
        <v>58</v>
      </c>
      <c r="B254" s="14" t="s">
        <v>104</v>
      </c>
      <c r="C254" s="15">
        <v>203.04</v>
      </c>
      <c r="D254" s="46">
        <v>1.2200000000000001E-4</v>
      </c>
      <c r="E254" s="36"/>
      <c r="G254" s="33"/>
      <c r="H254"/>
      <c r="I254"/>
      <c r="J254"/>
    </row>
    <row r="255" spans="1:10" ht="15.6" x14ac:dyDescent="0.3">
      <c r="A255" s="45" t="s">
        <v>97</v>
      </c>
      <c r="B255" s="14" t="s">
        <v>104</v>
      </c>
      <c r="C255" s="15">
        <v>189.2</v>
      </c>
      <c r="D255" s="46">
        <v>1.1400000000000001E-4</v>
      </c>
      <c r="E255" s="36"/>
      <c r="G255" s="33"/>
      <c r="H255"/>
      <c r="I255"/>
      <c r="J255"/>
    </row>
    <row r="256" spans="1:10" ht="15.6" x14ac:dyDescent="0.3">
      <c r="A256" s="45" t="s">
        <v>81</v>
      </c>
      <c r="B256" s="14" t="s">
        <v>104</v>
      </c>
      <c r="C256" s="15">
        <v>178.16</v>
      </c>
      <c r="D256" s="46">
        <v>1.07E-4</v>
      </c>
      <c r="E256" s="36"/>
      <c r="G256" s="33"/>
      <c r="H256"/>
      <c r="I256"/>
      <c r="J256"/>
    </row>
    <row r="257" spans="1:10" ht="15.6" x14ac:dyDescent="0.3">
      <c r="A257" s="45" t="s">
        <v>76</v>
      </c>
      <c r="B257" s="14" t="s">
        <v>104</v>
      </c>
      <c r="C257" s="15">
        <v>148.84</v>
      </c>
      <c r="D257" s="46">
        <v>8.8999999999999995E-5</v>
      </c>
      <c r="E257" s="36"/>
      <c r="G257" s="33"/>
      <c r="H257"/>
      <c r="I257"/>
      <c r="J257"/>
    </row>
    <row r="258" spans="1:10" ht="15.6" x14ac:dyDescent="0.3">
      <c r="A258" s="45" t="s">
        <v>49</v>
      </c>
      <c r="B258" s="14" t="s">
        <v>104</v>
      </c>
      <c r="C258" s="15">
        <v>129.38999999999999</v>
      </c>
      <c r="D258" s="46">
        <v>7.7999999999999999E-5</v>
      </c>
      <c r="E258" s="36"/>
      <c r="G258" s="33"/>
      <c r="H258"/>
      <c r="I258"/>
      <c r="J258"/>
    </row>
    <row r="259" spans="1:10" ht="15.6" x14ac:dyDescent="0.3">
      <c r="A259" s="45" t="s">
        <v>93</v>
      </c>
      <c r="B259" s="14" t="s">
        <v>104</v>
      </c>
      <c r="C259" s="15">
        <v>119.7</v>
      </c>
      <c r="D259" s="46">
        <v>7.2000000000000002E-5</v>
      </c>
      <c r="E259" s="36"/>
      <c r="G259" s="33"/>
      <c r="H259"/>
      <c r="I259"/>
      <c r="J259"/>
    </row>
    <row r="260" spans="1:10" ht="15.6" x14ac:dyDescent="0.3">
      <c r="A260" s="45" t="s">
        <v>67</v>
      </c>
      <c r="B260" s="14" t="s">
        <v>104</v>
      </c>
      <c r="C260" s="15">
        <v>112.56</v>
      </c>
      <c r="D260" s="46">
        <v>6.7999999999999999E-5</v>
      </c>
      <c r="E260" s="36"/>
      <c r="G260" s="33"/>
      <c r="H260"/>
      <c r="I260"/>
      <c r="J260"/>
    </row>
    <row r="261" spans="1:10" ht="15.6" x14ac:dyDescent="0.3">
      <c r="A261" s="45" t="s">
        <v>70</v>
      </c>
      <c r="B261" s="14" t="s">
        <v>104</v>
      </c>
      <c r="C261" s="15">
        <v>92.74</v>
      </c>
      <c r="D261" s="46">
        <v>5.5999999999999999E-5</v>
      </c>
      <c r="E261" s="36"/>
      <c r="G261" s="33"/>
      <c r="H261"/>
      <c r="I261"/>
      <c r="J261"/>
    </row>
    <row r="262" spans="1:10" ht="15.6" x14ac:dyDescent="0.3">
      <c r="A262" s="45" t="s">
        <v>75</v>
      </c>
      <c r="B262" s="14" t="s">
        <v>104</v>
      </c>
      <c r="C262" s="15">
        <v>90.27</v>
      </c>
      <c r="D262" s="46">
        <v>5.4000000000000005E-5</v>
      </c>
      <c r="E262" s="36"/>
      <c r="G262" s="33"/>
      <c r="H262"/>
      <c r="I262"/>
      <c r="J262"/>
    </row>
    <row r="263" spans="1:10" ht="15.6" x14ac:dyDescent="0.3">
      <c r="A263" s="45" t="s">
        <v>77</v>
      </c>
      <c r="B263" s="14" t="s">
        <v>104</v>
      </c>
      <c r="C263" s="15">
        <v>88.4</v>
      </c>
      <c r="D263" s="46">
        <v>5.3000000000000001E-5</v>
      </c>
      <c r="E263" s="36"/>
      <c r="G263" s="33"/>
      <c r="H263"/>
      <c r="I263"/>
      <c r="J263"/>
    </row>
    <row r="264" spans="1:10" ht="15.6" x14ac:dyDescent="0.3">
      <c r="A264" s="45" t="s">
        <v>79</v>
      </c>
      <c r="B264" s="14" t="s">
        <v>104</v>
      </c>
      <c r="C264" s="15">
        <v>81.459999999999994</v>
      </c>
      <c r="D264" s="46">
        <v>4.8999999999999998E-5</v>
      </c>
      <c r="E264" s="36"/>
      <c r="G264" s="33"/>
      <c r="H264"/>
      <c r="I264"/>
      <c r="J264"/>
    </row>
    <row r="265" spans="1:10" ht="15.6" x14ac:dyDescent="0.3">
      <c r="A265" s="45" t="s">
        <v>88</v>
      </c>
      <c r="B265" s="14" t="s">
        <v>104</v>
      </c>
      <c r="C265" s="15">
        <v>78.3</v>
      </c>
      <c r="D265" s="46">
        <v>4.7000000000000004E-5</v>
      </c>
      <c r="E265" s="36"/>
      <c r="G265" s="33"/>
      <c r="H265"/>
      <c r="I265"/>
      <c r="J265"/>
    </row>
    <row r="266" spans="1:10" ht="15.6" x14ac:dyDescent="0.3">
      <c r="A266" s="45" t="s">
        <v>73</v>
      </c>
      <c r="B266" s="14" t="s">
        <v>104</v>
      </c>
      <c r="C266" s="15">
        <v>72.430000000000007</v>
      </c>
      <c r="D266" s="46">
        <v>4.3000000000000002E-5</v>
      </c>
      <c r="E266" s="36"/>
      <c r="G266" s="33"/>
      <c r="H266"/>
      <c r="I266"/>
      <c r="J266"/>
    </row>
    <row r="267" spans="1:10" ht="15.6" x14ac:dyDescent="0.3">
      <c r="A267" s="45" t="s">
        <v>68</v>
      </c>
      <c r="B267" s="14" t="s">
        <v>104</v>
      </c>
      <c r="C267" s="15">
        <v>71.8</v>
      </c>
      <c r="D267" s="46">
        <v>4.3000000000000002E-5</v>
      </c>
      <c r="E267" s="36"/>
      <c r="G267" s="33"/>
      <c r="H267"/>
      <c r="I267"/>
      <c r="J267"/>
    </row>
    <row r="268" spans="1:10" ht="15.6" x14ac:dyDescent="0.3">
      <c r="A268" s="45" t="s">
        <v>98</v>
      </c>
      <c r="B268" s="14" t="s">
        <v>104</v>
      </c>
      <c r="C268" s="15">
        <v>55.32</v>
      </c>
      <c r="D268" s="46">
        <v>3.3000000000000003E-5</v>
      </c>
      <c r="E268" s="36"/>
      <c r="G268" s="33"/>
      <c r="H268"/>
      <c r="I268"/>
      <c r="J268"/>
    </row>
    <row r="269" spans="1:10" ht="15.6" x14ac:dyDescent="0.3">
      <c r="A269" s="45" t="s">
        <v>85</v>
      </c>
      <c r="B269" s="14" t="s">
        <v>104</v>
      </c>
      <c r="C269" s="15">
        <v>20.7</v>
      </c>
      <c r="D269" s="46">
        <v>1.1999999999999999E-5</v>
      </c>
      <c r="E269" s="36"/>
      <c r="G269" s="33"/>
      <c r="H269"/>
      <c r="I269"/>
      <c r="J269"/>
    </row>
    <row r="270" spans="1:10" ht="15.6" x14ac:dyDescent="0.3">
      <c r="A270" s="45" t="s">
        <v>99</v>
      </c>
      <c r="B270" s="14" t="s">
        <v>104</v>
      </c>
      <c r="C270" s="15">
        <v>16.87</v>
      </c>
      <c r="D270" s="46">
        <v>1.0000000000000001E-5</v>
      </c>
      <c r="E270" s="36"/>
      <c r="G270" s="33"/>
      <c r="H270"/>
      <c r="I270"/>
      <c r="J270"/>
    </row>
    <row r="271" spans="1:10" ht="15.6" x14ac:dyDescent="0.3">
      <c r="A271" s="45" t="s">
        <v>82</v>
      </c>
      <c r="B271" s="14" t="s">
        <v>104</v>
      </c>
      <c r="C271" s="15">
        <v>13.43</v>
      </c>
      <c r="D271" s="46">
        <v>7.9999999999999996E-6</v>
      </c>
      <c r="E271" s="36"/>
      <c r="G271" s="33"/>
      <c r="H271"/>
      <c r="I271"/>
      <c r="J271"/>
    </row>
    <row r="272" spans="1:10" ht="15.6" x14ac:dyDescent="0.3">
      <c r="A272" s="45" t="s">
        <v>100</v>
      </c>
      <c r="B272" s="14" t="s">
        <v>104</v>
      </c>
      <c r="C272" s="15">
        <v>8.4600000000000009</v>
      </c>
      <c r="D272" s="46">
        <v>5.0000000000000004E-6</v>
      </c>
      <c r="E272" s="36"/>
      <c r="G272" s="33"/>
      <c r="H272"/>
      <c r="I272"/>
      <c r="J272"/>
    </row>
    <row r="273" spans="1:10" ht="15.6" x14ac:dyDescent="0.3">
      <c r="A273" s="45" t="s">
        <v>4</v>
      </c>
      <c r="B273" s="14" t="s">
        <v>107</v>
      </c>
      <c r="C273" s="15">
        <v>221990.26</v>
      </c>
      <c r="D273" s="46">
        <v>0.13921500000000001</v>
      </c>
      <c r="E273" s="36"/>
      <c r="G273" s="33"/>
      <c r="H273"/>
      <c r="I273"/>
      <c r="J273"/>
    </row>
    <row r="274" spans="1:10" ht="15.6" x14ac:dyDescent="0.3">
      <c r="A274" s="45" t="s">
        <v>1</v>
      </c>
      <c r="B274" s="14" t="s">
        <v>107</v>
      </c>
      <c r="C274" s="15">
        <v>211861.93</v>
      </c>
      <c r="D274" s="46">
        <v>0.13286300000000001</v>
      </c>
      <c r="E274" s="36"/>
      <c r="G274" s="33"/>
      <c r="H274"/>
      <c r="I274"/>
      <c r="J274"/>
    </row>
    <row r="275" spans="1:10" ht="15.6" x14ac:dyDescent="0.3">
      <c r="A275" s="45" t="s">
        <v>0</v>
      </c>
      <c r="B275" s="14" t="s">
        <v>107</v>
      </c>
      <c r="C275" s="15">
        <v>157069.13</v>
      </c>
      <c r="D275" s="46">
        <v>9.8501999999999992E-2</v>
      </c>
      <c r="E275" s="36"/>
      <c r="G275" s="33"/>
      <c r="H275"/>
      <c r="I275"/>
      <c r="J275"/>
    </row>
    <row r="276" spans="1:10" ht="15.6" x14ac:dyDescent="0.3">
      <c r="A276" s="45" t="s">
        <v>2</v>
      </c>
      <c r="B276" s="14" t="s">
        <v>107</v>
      </c>
      <c r="C276" s="15">
        <v>153197.1</v>
      </c>
      <c r="D276" s="46">
        <v>9.6073000000000006E-2</v>
      </c>
      <c r="E276" s="36"/>
      <c r="G276" s="33"/>
      <c r="H276"/>
      <c r="I276"/>
      <c r="J276"/>
    </row>
    <row r="277" spans="1:10" ht="15.6" x14ac:dyDescent="0.3">
      <c r="A277" s="45" t="s">
        <v>3</v>
      </c>
      <c r="B277" s="14" t="s">
        <v>107</v>
      </c>
      <c r="C277" s="15">
        <v>118446.92</v>
      </c>
      <c r="D277" s="46">
        <v>7.4281E-2</v>
      </c>
      <c r="E277" s="36"/>
      <c r="G277" s="33"/>
      <c r="H277"/>
      <c r="I277"/>
      <c r="J277"/>
    </row>
    <row r="278" spans="1:10" ht="15.6" x14ac:dyDescent="0.3">
      <c r="A278" s="45" t="s">
        <v>8</v>
      </c>
      <c r="B278" s="14" t="s">
        <v>107</v>
      </c>
      <c r="C278" s="15">
        <v>96389.2</v>
      </c>
      <c r="D278" s="46">
        <v>6.0448000000000002E-2</v>
      </c>
      <c r="E278" s="36"/>
      <c r="G278" s="33"/>
      <c r="H278"/>
      <c r="I278"/>
      <c r="J278"/>
    </row>
    <row r="279" spans="1:10" ht="15.6" x14ac:dyDescent="0.3">
      <c r="A279" s="45" t="s">
        <v>12</v>
      </c>
      <c r="B279" s="14" t="s">
        <v>107</v>
      </c>
      <c r="C279" s="15">
        <v>72694.87</v>
      </c>
      <c r="D279" s="46">
        <v>4.5589000000000005E-2</v>
      </c>
      <c r="E279" s="36"/>
      <c r="G279" s="33"/>
      <c r="H279"/>
      <c r="I279"/>
      <c r="J279"/>
    </row>
    <row r="280" spans="1:10" ht="15.6" x14ac:dyDescent="0.3">
      <c r="A280" s="45" t="s">
        <v>6</v>
      </c>
      <c r="B280" s="14" t="s">
        <v>107</v>
      </c>
      <c r="C280" s="15">
        <v>58579.4</v>
      </c>
      <c r="D280" s="46">
        <v>3.6735999999999998E-2</v>
      </c>
      <c r="E280" s="36"/>
      <c r="G280" s="33"/>
      <c r="H280"/>
      <c r="I280"/>
      <c r="J280"/>
    </row>
    <row r="281" spans="1:10" ht="15.6" x14ac:dyDescent="0.3">
      <c r="A281" s="45" t="s">
        <v>14</v>
      </c>
      <c r="B281" s="14" t="s">
        <v>107</v>
      </c>
      <c r="C281" s="15">
        <v>56829.31</v>
      </c>
      <c r="D281" s="46">
        <v>3.5638999999999997E-2</v>
      </c>
      <c r="E281" s="36"/>
      <c r="G281" s="33"/>
      <c r="H281"/>
      <c r="I281"/>
      <c r="J281"/>
    </row>
    <row r="282" spans="1:10" ht="15.6" x14ac:dyDescent="0.3">
      <c r="A282" s="45" t="s">
        <v>10</v>
      </c>
      <c r="B282" s="14" t="s">
        <v>107</v>
      </c>
      <c r="C282" s="15">
        <v>49734.37</v>
      </c>
      <c r="D282" s="46">
        <v>3.1190000000000002E-2</v>
      </c>
      <c r="E282" s="36"/>
      <c r="G282" s="33"/>
      <c r="H282"/>
      <c r="I282"/>
      <c r="J282"/>
    </row>
    <row r="283" spans="1:10" ht="15.6" x14ac:dyDescent="0.3">
      <c r="A283" s="45" t="s">
        <v>9</v>
      </c>
      <c r="B283" s="14" t="s">
        <v>107</v>
      </c>
      <c r="C283" s="15">
        <v>44156.62</v>
      </c>
      <c r="D283" s="46">
        <v>2.7692000000000001E-2</v>
      </c>
      <c r="E283" s="36"/>
      <c r="G283" s="33"/>
      <c r="H283"/>
      <c r="I283"/>
      <c r="J283"/>
    </row>
    <row r="284" spans="1:10" ht="15.6" x14ac:dyDescent="0.3">
      <c r="A284" s="45" t="s">
        <v>15</v>
      </c>
      <c r="B284" s="14" t="s">
        <v>107</v>
      </c>
      <c r="C284" s="15">
        <v>43178.79</v>
      </c>
      <c r="D284" s="46">
        <v>2.7078000000000001E-2</v>
      </c>
      <c r="E284" s="36"/>
      <c r="G284" s="33"/>
      <c r="H284"/>
      <c r="I284"/>
      <c r="J284"/>
    </row>
    <row r="285" spans="1:10" ht="15.6" x14ac:dyDescent="0.3">
      <c r="A285" s="45" t="s">
        <v>11</v>
      </c>
      <c r="B285" s="14" t="s">
        <v>107</v>
      </c>
      <c r="C285" s="15">
        <v>42589.62</v>
      </c>
      <c r="D285" s="46">
        <v>2.6709E-2</v>
      </c>
      <c r="E285" s="36"/>
      <c r="G285" s="33"/>
      <c r="H285"/>
      <c r="I285"/>
      <c r="J285"/>
    </row>
    <row r="286" spans="1:10" ht="15.6" x14ac:dyDescent="0.3">
      <c r="A286" s="45" t="s">
        <v>16</v>
      </c>
      <c r="B286" s="14" t="s">
        <v>107</v>
      </c>
      <c r="C286" s="15">
        <v>24526.66</v>
      </c>
      <c r="D286" s="46">
        <v>1.5381000000000001E-2</v>
      </c>
      <c r="E286" s="36"/>
      <c r="G286" s="33"/>
      <c r="H286"/>
      <c r="I286"/>
      <c r="J286"/>
    </row>
    <row r="287" spans="1:10" ht="15.6" x14ac:dyDescent="0.3">
      <c r="A287" s="45" t="s">
        <v>13</v>
      </c>
      <c r="B287" s="14" t="s">
        <v>107</v>
      </c>
      <c r="C287" s="15">
        <v>23777.45</v>
      </c>
      <c r="D287" s="46">
        <v>1.4911000000000001E-2</v>
      </c>
      <c r="E287" s="36"/>
      <c r="G287" s="33"/>
      <c r="H287"/>
      <c r="I287"/>
      <c r="J287"/>
    </row>
    <row r="288" spans="1:10" ht="15.6" x14ac:dyDescent="0.3">
      <c r="A288" s="45" t="s">
        <v>7</v>
      </c>
      <c r="B288" s="14" t="s">
        <v>107</v>
      </c>
      <c r="C288" s="15">
        <v>20030.740000000002</v>
      </c>
      <c r="D288" s="46">
        <v>1.2562E-2</v>
      </c>
      <c r="E288" s="36"/>
      <c r="G288" s="33"/>
      <c r="H288"/>
      <c r="I288"/>
      <c r="J288"/>
    </row>
    <row r="289" spans="1:10" ht="15.6" x14ac:dyDescent="0.3">
      <c r="A289" s="45" t="s">
        <v>17</v>
      </c>
      <c r="B289" s="14" t="s">
        <v>107</v>
      </c>
      <c r="C289" s="15">
        <v>18792.68</v>
      </c>
      <c r="D289" s="46">
        <v>1.1785E-2</v>
      </c>
      <c r="E289" s="36"/>
      <c r="G289" s="33"/>
      <c r="H289"/>
      <c r="I289"/>
      <c r="J289"/>
    </row>
    <row r="290" spans="1:10" ht="15.6" x14ac:dyDescent="0.3">
      <c r="A290" s="45" t="s">
        <v>21</v>
      </c>
      <c r="B290" s="14" t="s">
        <v>107</v>
      </c>
      <c r="C290" s="15">
        <v>14207.44</v>
      </c>
      <c r="D290" s="46">
        <v>8.9099999999999995E-3</v>
      </c>
      <c r="E290" s="36"/>
      <c r="G290" s="33"/>
      <c r="H290"/>
      <c r="I290"/>
      <c r="J290"/>
    </row>
    <row r="291" spans="1:10" ht="15.6" x14ac:dyDescent="0.3">
      <c r="A291" s="45" t="s">
        <v>24</v>
      </c>
      <c r="B291" s="14" t="s">
        <v>107</v>
      </c>
      <c r="C291" s="15">
        <v>14056.24</v>
      </c>
      <c r="D291" s="46">
        <v>8.8149999999999999E-3</v>
      </c>
      <c r="E291" s="36"/>
      <c r="G291" s="33"/>
      <c r="H291"/>
      <c r="I291"/>
      <c r="J291"/>
    </row>
    <row r="292" spans="1:10" ht="15.6" x14ac:dyDescent="0.3">
      <c r="A292" s="45" t="s">
        <v>5</v>
      </c>
      <c r="B292" s="14" t="s">
        <v>107</v>
      </c>
      <c r="C292" s="15">
        <v>13433.08</v>
      </c>
      <c r="D292" s="46">
        <v>8.4240000000000009E-3</v>
      </c>
      <c r="E292" s="36"/>
    </row>
    <row r="293" spans="1:10" ht="15.6" x14ac:dyDescent="0.3">
      <c r="A293" s="45" t="s">
        <v>26</v>
      </c>
      <c r="B293" s="14" t="s">
        <v>107</v>
      </c>
      <c r="C293" s="15">
        <v>11480.89</v>
      </c>
      <c r="D293" s="46">
        <v>7.1999999999999998E-3</v>
      </c>
      <c r="E293" s="36"/>
    </row>
    <row r="294" spans="1:10" ht="15.6" x14ac:dyDescent="0.3">
      <c r="A294" s="45" t="s">
        <v>23</v>
      </c>
      <c r="B294" s="14" t="s">
        <v>107</v>
      </c>
      <c r="C294" s="15">
        <v>10057.9</v>
      </c>
      <c r="D294" s="46">
        <v>6.3080000000000002E-3</v>
      </c>
      <c r="E294" s="36"/>
    </row>
    <row r="295" spans="1:10" ht="15.6" x14ac:dyDescent="0.3">
      <c r="A295" s="45" t="s">
        <v>29</v>
      </c>
      <c r="B295" s="14" t="s">
        <v>107</v>
      </c>
      <c r="C295" s="15">
        <v>9175.4500000000007</v>
      </c>
      <c r="D295" s="46">
        <v>5.7540000000000004E-3</v>
      </c>
      <c r="E295" s="36"/>
    </row>
    <row r="296" spans="1:10" ht="15.6" x14ac:dyDescent="0.3">
      <c r="A296" s="45" t="s">
        <v>20</v>
      </c>
      <c r="B296" s="14" t="s">
        <v>107</v>
      </c>
      <c r="C296" s="15">
        <v>8864.25</v>
      </c>
      <c r="D296" s="46">
        <v>5.5589999999999997E-3</v>
      </c>
      <c r="E296" s="36"/>
    </row>
    <row r="297" spans="1:10" ht="15.6" x14ac:dyDescent="0.3">
      <c r="A297" s="45" t="s">
        <v>19</v>
      </c>
      <c r="B297" s="14" t="s">
        <v>107</v>
      </c>
      <c r="C297" s="15">
        <v>7969.67</v>
      </c>
      <c r="D297" s="46">
        <v>4.9979999999999998E-3</v>
      </c>
      <c r="E297" s="36"/>
    </row>
    <row r="298" spans="1:10" ht="15.6" x14ac:dyDescent="0.3">
      <c r="A298" s="45" t="s">
        <v>130</v>
      </c>
      <c r="B298" s="14" t="s">
        <v>107</v>
      </c>
      <c r="C298" s="15">
        <v>6231.69</v>
      </c>
      <c r="D298" s="46">
        <v>3.908E-3</v>
      </c>
      <c r="E298" s="36"/>
    </row>
    <row r="299" spans="1:10" ht="15.6" x14ac:dyDescent="0.3">
      <c r="A299" s="45" t="s">
        <v>38</v>
      </c>
      <c r="B299" s="14" t="s">
        <v>107</v>
      </c>
      <c r="C299" s="15">
        <v>6091.07</v>
      </c>
      <c r="D299" s="46">
        <v>3.82E-3</v>
      </c>
      <c r="E299" s="36"/>
    </row>
    <row r="300" spans="1:10" ht="15.6" x14ac:dyDescent="0.3">
      <c r="A300" s="45" t="s">
        <v>18</v>
      </c>
      <c r="B300" s="14" t="s">
        <v>107</v>
      </c>
      <c r="C300" s="15">
        <v>5905.19</v>
      </c>
      <c r="D300" s="46">
        <v>3.7030000000000001E-3</v>
      </c>
      <c r="E300" s="36"/>
    </row>
    <row r="301" spans="1:10" ht="15.6" x14ac:dyDescent="0.3">
      <c r="A301" s="45" t="s">
        <v>74</v>
      </c>
      <c r="B301" s="14" t="s">
        <v>107</v>
      </c>
      <c r="C301" s="15">
        <v>5757.36</v>
      </c>
      <c r="D301" s="46">
        <v>3.6109999999999996E-3</v>
      </c>
      <c r="E301" s="36"/>
    </row>
    <row r="302" spans="1:10" ht="15.6" x14ac:dyDescent="0.3">
      <c r="A302" s="45" t="s">
        <v>41</v>
      </c>
      <c r="B302" s="14" t="s">
        <v>107</v>
      </c>
      <c r="C302" s="15">
        <v>5214.3900000000003</v>
      </c>
      <c r="D302" s="46">
        <v>3.2700000000000003E-3</v>
      </c>
      <c r="E302" s="36"/>
    </row>
    <row r="303" spans="1:10" ht="15.6" x14ac:dyDescent="0.3">
      <c r="A303" s="45" t="s">
        <v>40</v>
      </c>
      <c r="B303" s="14" t="s">
        <v>107</v>
      </c>
      <c r="C303" s="15">
        <v>4969.38</v>
      </c>
      <c r="D303" s="46">
        <v>3.1159999999999998E-3</v>
      </c>
      <c r="E303" s="36"/>
    </row>
    <row r="304" spans="1:10" ht="15.6" x14ac:dyDescent="0.3">
      <c r="A304" s="45" t="s">
        <v>43</v>
      </c>
      <c r="B304" s="14" t="s">
        <v>107</v>
      </c>
      <c r="C304" s="15">
        <v>4916.4799999999996</v>
      </c>
      <c r="D304" s="46">
        <v>3.0830000000000002E-3</v>
      </c>
      <c r="E304" s="36"/>
    </row>
    <row r="305" spans="1:5" ht="15.6" x14ac:dyDescent="0.3">
      <c r="A305" s="45" t="s">
        <v>32</v>
      </c>
      <c r="B305" s="14" t="s">
        <v>107</v>
      </c>
      <c r="C305" s="15">
        <v>4087.6</v>
      </c>
      <c r="D305" s="46">
        <v>2.5629999999999997E-3</v>
      </c>
      <c r="E305" s="36"/>
    </row>
    <row r="306" spans="1:5" ht="15.6" x14ac:dyDescent="0.3">
      <c r="A306" s="45" t="s">
        <v>46</v>
      </c>
      <c r="B306" s="14" t="s">
        <v>107</v>
      </c>
      <c r="C306" s="15">
        <v>3688.92</v>
      </c>
      <c r="D306" s="46">
        <v>2.313E-3</v>
      </c>
      <c r="E306" s="36"/>
    </row>
    <row r="307" spans="1:5" ht="15.6" x14ac:dyDescent="0.3">
      <c r="A307" s="45" t="s">
        <v>33</v>
      </c>
      <c r="B307" s="14" t="s">
        <v>107</v>
      </c>
      <c r="C307" s="15">
        <v>3622.34</v>
      </c>
      <c r="D307" s="46">
        <v>2.2720000000000001E-3</v>
      </c>
      <c r="E307" s="36"/>
    </row>
    <row r="308" spans="1:5" ht="15.6" x14ac:dyDescent="0.3">
      <c r="A308" s="45" t="s">
        <v>30</v>
      </c>
      <c r="B308" s="14" t="s">
        <v>107</v>
      </c>
      <c r="C308" s="15">
        <v>3175.75</v>
      </c>
      <c r="D308" s="46">
        <v>1.9919999999999998E-3</v>
      </c>
      <c r="E308" s="36"/>
    </row>
    <row r="309" spans="1:5" ht="15.6" x14ac:dyDescent="0.3">
      <c r="A309" s="45" t="s">
        <v>39</v>
      </c>
      <c r="B309" s="14" t="s">
        <v>107</v>
      </c>
      <c r="C309" s="15">
        <v>2747.97</v>
      </c>
      <c r="D309" s="46">
        <v>1.7230000000000001E-3</v>
      </c>
      <c r="E309" s="36"/>
    </row>
    <row r="310" spans="1:5" ht="15.6" x14ac:dyDescent="0.3">
      <c r="A310" s="45" t="s">
        <v>90</v>
      </c>
      <c r="B310" s="14" t="s">
        <v>107</v>
      </c>
      <c r="C310" s="15">
        <v>2606.11</v>
      </c>
      <c r="D310" s="46">
        <v>1.6339999999999998E-3</v>
      </c>
      <c r="E310" s="36"/>
    </row>
    <row r="311" spans="1:5" ht="15.6" x14ac:dyDescent="0.3">
      <c r="A311" s="45" t="s">
        <v>61</v>
      </c>
      <c r="B311" s="14" t="s">
        <v>107</v>
      </c>
      <c r="C311" s="15">
        <v>2595.3000000000002</v>
      </c>
      <c r="D311" s="46">
        <v>1.6280000000000001E-3</v>
      </c>
      <c r="E311" s="36"/>
    </row>
    <row r="312" spans="1:5" ht="15.6" x14ac:dyDescent="0.3">
      <c r="A312" s="45" t="s">
        <v>42</v>
      </c>
      <c r="B312" s="14" t="s">
        <v>107</v>
      </c>
      <c r="C312" s="15">
        <v>2500.61</v>
      </c>
      <c r="D312" s="46">
        <v>1.5679999999999999E-3</v>
      </c>
      <c r="E312" s="36"/>
    </row>
    <row r="313" spans="1:5" ht="15.6" x14ac:dyDescent="0.3">
      <c r="A313" s="45" t="s">
        <v>45</v>
      </c>
      <c r="B313" s="14" t="s">
        <v>107</v>
      </c>
      <c r="C313" s="15">
        <v>1965.07</v>
      </c>
      <c r="D313" s="46">
        <v>1.232E-3</v>
      </c>
      <c r="E313" s="36"/>
    </row>
    <row r="314" spans="1:5" ht="15.6" x14ac:dyDescent="0.3">
      <c r="A314" s="45" t="s">
        <v>67</v>
      </c>
      <c r="B314" s="14" t="s">
        <v>107</v>
      </c>
      <c r="C314" s="15">
        <v>1823.12</v>
      </c>
      <c r="D314" s="46">
        <v>1.1429999999999999E-3</v>
      </c>
      <c r="E314" s="36"/>
    </row>
    <row r="315" spans="1:5" ht="15.6" x14ac:dyDescent="0.3">
      <c r="A315" s="45" t="s">
        <v>35</v>
      </c>
      <c r="B315" s="14" t="s">
        <v>107</v>
      </c>
      <c r="C315" s="15">
        <v>1790.96</v>
      </c>
      <c r="D315" s="46">
        <v>1.1229999999999999E-3</v>
      </c>
      <c r="E315" s="36"/>
    </row>
    <row r="316" spans="1:5" ht="15.6" x14ac:dyDescent="0.3">
      <c r="A316" s="45" t="s">
        <v>54</v>
      </c>
      <c r="B316" s="14" t="s">
        <v>107</v>
      </c>
      <c r="C316" s="15">
        <v>1601.22</v>
      </c>
      <c r="D316" s="46">
        <v>1.0040000000000001E-3</v>
      </c>
      <c r="E316" s="36"/>
    </row>
    <row r="317" spans="1:5" ht="15.6" x14ac:dyDescent="0.3">
      <c r="A317" s="45" t="s">
        <v>47</v>
      </c>
      <c r="B317" s="14" t="s">
        <v>107</v>
      </c>
      <c r="C317" s="15">
        <v>1515.93</v>
      </c>
      <c r="D317" s="46">
        <v>9.5100000000000002E-4</v>
      </c>
      <c r="E317" s="36"/>
    </row>
    <row r="318" spans="1:5" ht="15.6" x14ac:dyDescent="0.3">
      <c r="A318" s="45" t="s">
        <v>37</v>
      </c>
      <c r="B318" s="14" t="s">
        <v>107</v>
      </c>
      <c r="C318" s="15">
        <v>1370.83</v>
      </c>
      <c r="D318" s="46">
        <v>8.5999999999999998E-4</v>
      </c>
      <c r="E318" s="36"/>
    </row>
    <row r="319" spans="1:5" ht="15.6" x14ac:dyDescent="0.3">
      <c r="A319" s="45" t="s">
        <v>25</v>
      </c>
      <c r="B319" s="14" t="s">
        <v>107</v>
      </c>
      <c r="C319" s="15">
        <v>1117.02</v>
      </c>
      <c r="D319" s="46">
        <v>7.0099999999999991E-4</v>
      </c>
      <c r="E319" s="36"/>
    </row>
    <row r="320" spans="1:5" ht="15.6" x14ac:dyDescent="0.3">
      <c r="A320" s="45" t="s">
        <v>53</v>
      </c>
      <c r="B320" s="14" t="s">
        <v>107</v>
      </c>
      <c r="C320" s="15">
        <v>1105.58</v>
      </c>
      <c r="D320" s="46">
        <v>6.9300000000000004E-4</v>
      </c>
      <c r="E320" s="36"/>
    </row>
    <row r="321" spans="1:5" ht="15.6" x14ac:dyDescent="0.3">
      <c r="A321" s="45" t="s">
        <v>63</v>
      </c>
      <c r="B321" s="14" t="s">
        <v>107</v>
      </c>
      <c r="C321" s="15">
        <v>1041.01</v>
      </c>
      <c r="D321" s="46">
        <v>6.5299999999999993E-4</v>
      </c>
      <c r="E321" s="36"/>
    </row>
    <row r="322" spans="1:5" ht="15.6" x14ac:dyDescent="0.3">
      <c r="A322" s="45" t="s">
        <v>64</v>
      </c>
      <c r="B322" s="14" t="s">
        <v>107</v>
      </c>
      <c r="C322" s="15">
        <v>968.56</v>
      </c>
      <c r="D322" s="46">
        <v>6.0700000000000001E-4</v>
      </c>
      <c r="E322" s="36"/>
    </row>
    <row r="323" spans="1:5" ht="15.6" x14ac:dyDescent="0.3">
      <c r="A323" s="45" t="s">
        <v>27</v>
      </c>
      <c r="B323" s="14" t="s">
        <v>107</v>
      </c>
      <c r="C323" s="15">
        <v>952.83</v>
      </c>
      <c r="D323" s="46">
        <v>5.9800000000000001E-4</v>
      </c>
      <c r="E323" s="36"/>
    </row>
    <row r="324" spans="1:5" ht="15.6" x14ac:dyDescent="0.3">
      <c r="A324" s="45" t="s">
        <v>51</v>
      </c>
      <c r="B324" s="14" t="s">
        <v>107</v>
      </c>
      <c r="C324" s="15">
        <v>781.83</v>
      </c>
      <c r="D324" s="46">
        <v>4.8999999999999998E-4</v>
      </c>
      <c r="E324" s="36"/>
    </row>
    <row r="325" spans="1:5" ht="15.6" x14ac:dyDescent="0.3">
      <c r="A325" s="45" t="s">
        <v>58</v>
      </c>
      <c r="B325" s="14" t="s">
        <v>107</v>
      </c>
      <c r="C325" s="15">
        <v>776.26</v>
      </c>
      <c r="D325" s="46">
        <v>4.8700000000000002E-4</v>
      </c>
      <c r="E325" s="36"/>
    </row>
    <row r="326" spans="1:5" ht="15.6" x14ac:dyDescent="0.3">
      <c r="A326" s="45" t="s">
        <v>95</v>
      </c>
      <c r="B326" s="14" t="s">
        <v>107</v>
      </c>
      <c r="C326" s="15">
        <v>760.26</v>
      </c>
      <c r="D326" s="46">
        <v>4.7699999999999999E-4</v>
      </c>
      <c r="E326" s="36"/>
    </row>
    <row r="327" spans="1:5" ht="15.6" x14ac:dyDescent="0.3">
      <c r="A327" s="45" t="s">
        <v>44</v>
      </c>
      <c r="B327" s="14" t="s">
        <v>107</v>
      </c>
      <c r="C327" s="15">
        <v>760.05</v>
      </c>
      <c r="D327" s="46">
        <v>4.7699999999999999E-4</v>
      </c>
      <c r="E327" s="36"/>
    </row>
    <row r="328" spans="1:5" ht="15.6" x14ac:dyDescent="0.3">
      <c r="A328" s="45" t="s">
        <v>65</v>
      </c>
      <c r="B328" s="14" t="s">
        <v>107</v>
      </c>
      <c r="C328" s="15">
        <v>690.57</v>
      </c>
      <c r="D328" s="46">
        <v>4.3300000000000001E-4</v>
      </c>
      <c r="E328" s="36"/>
    </row>
    <row r="329" spans="1:5" ht="15.6" x14ac:dyDescent="0.3">
      <c r="A329" s="45" t="s">
        <v>68</v>
      </c>
      <c r="B329" s="14" t="s">
        <v>107</v>
      </c>
      <c r="C329" s="15">
        <v>665.41</v>
      </c>
      <c r="D329" s="46">
        <v>4.17E-4</v>
      </c>
      <c r="E329" s="36"/>
    </row>
    <row r="330" spans="1:5" ht="15.6" x14ac:dyDescent="0.3">
      <c r="A330" s="45" t="s">
        <v>50</v>
      </c>
      <c r="B330" s="14" t="s">
        <v>107</v>
      </c>
      <c r="C330" s="15">
        <v>599.82000000000005</v>
      </c>
      <c r="D330" s="46">
        <v>3.7600000000000003E-4</v>
      </c>
      <c r="E330" s="36"/>
    </row>
    <row r="331" spans="1:5" ht="15.6" x14ac:dyDescent="0.3">
      <c r="A331" s="45" t="s">
        <v>145</v>
      </c>
      <c r="B331" s="14" t="s">
        <v>107</v>
      </c>
      <c r="C331" s="15">
        <v>535.79999999999995</v>
      </c>
      <c r="D331" s="46">
        <v>3.3599999999999998E-4</v>
      </c>
      <c r="E331" s="36"/>
    </row>
    <row r="332" spans="1:5" ht="15.6" x14ac:dyDescent="0.3">
      <c r="A332" s="45" t="s">
        <v>55</v>
      </c>
      <c r="B332" s="14" t="s">
        <v>107</v>
      </c>
      <c r="C332" s="15">
        <v>533.29</v>
      </c>
      <c r="D332" s="46">
        <v>3.3399999999999999E-4</v>
      </c>
      <c r="E332" s="36"/>
    </row>
    <row r="333" spans="1:5" ht="15.6" x14ac:dyDescent="0.3">
      <c r="A333" s="45" t="s">
        <v>49</v>
      </c>
      <c r="B333" s="14" t="s">
        <v>107</v>
      </c>
      <c r="C333" s="15">
        <v>501.96</v>
      </c>
      <c r="D333" s="46">
        <v>3.1500000000000001E-4</v>
      </c>
      <c r="E333" s="36"/>
    </row>
    <row r="334" spans="1:5" ht="15.6" x14ac:dyDescent="0.3">
      <c r="A334" s="45" t="s">
        <v>34</v>
      </c>
      <c r="B334" s="14" t="s">
        <v>107</v>
      </c>
      <c r="C334" s="15">
        <v>488.87</v>
      </c>
      <c r="D334" s="46">
        <v>3.0700000000000004E-4</v>
      </c>
      <c r="E334" s="36"/>
    </row>
    <row r="335" spans="1:5" ht="15.6" x14ac:dyDescent="0.3">
      <c r="A335" s="45" t="s">
        <v>28</v>
      </c>
      <c r="B335" s="14" t="s">
        <v>107</v>
      </c>
      <c r="C335" s="15">
        <v>463.29</v>
      </c>
      <c r="D335" s="46">
        <v>2.9100000000000003E-4</v>
      </c>
      <c r="E335" s="36"/>
    </row>
    <row r="336" spans="1:5" ht="15.6" x14ac:dyDescent="0.3">
      <c r="A336" s="45" t="s">
        <v>62</v>
      </c>
      <c r="B336" s="14" t="s">
        <v>107</v>
      </c>
      <c r="C336" s="15">
        <v>455.86</v>
      </c>
      <c r="D336" s="46">
        <v>2.8600000000000001E-4</v>
      </c>
      <c r="E336" s="36"/>
    </row>
    <row r="337" spans="1:5" ht="15.6" x14ac:dyDescent="0.3">
      <c r="A337" s="45" t="s">
        <v>146</v>
      </c>
      <c r="B337" s="14" t="s">
        <v>107</v>
      </c>
      <c r="C337" s="15">
        <v>435.4</v>
      </c>
      <c r="D337" s="46">
        <v>2.7300000000000002E-4</v>
      </c>
      <c r="E337" s="36"/>
    </row>
    <row r="338" spans="1:5" ht="15.6" x14ac:dyDescent="0.3">
      <c r="A338" s="45" t="s">
        <v>52</v>
      </c>
      <c r="B338" s="14" t="s">
        <v>107</v>
      </c>
      <c r="C338" s="15">
        <v>414.94</v>
      </c>
      <c r="D338" s="46">
        <v>2.5999999999999998E-4</v>
      </c>
      <c r="E338" s="36"/>
    </row>
    <row r="339" spans="1:5" ht="15.6" x14ac:dyDescent="0.3">
      <c r="A339" s="45" t="s">
        <v>60</v>
      </c>
      <c r="B339" s="14" t="s">
        <v>107</v>
      </c>
      <c r="C339" s="15">
        <v>405.56</v>
      </c>
      <c r="D339" s="46">
        <v>2.5399999999999999E-4</v>
      </c>
      <c r="E339" s="36"/>
    </row>
    <row r="340" spans="1:5" ht="15.6" x14ac:dyDescent="0.3">
      <c r="A340" s="45" t="s">
        <v>84</v>
      </c>
      <c r="B340" s="14" t="s">
        <v>107</v>
      </c>
      <c r="C340" s="15">
        <v>333.66</v>
      </c>
      <c r="D340" s="46">
        <v>2.0899999999999998E-4</v>
      </c>
      <c r="E340" s="36"/>
    </row>
    <row r="341" spans="1:5" ht="15.6" x14ac:dyDescent="0.3">
      <c r="A341" s="45" t="s">
        <v>96</v>
      </c>
      <c r="B341" s="14" t="s">
        <v>107</v>
      </c>
      <c r="C341" s="15">
        <v>292.76</v>
      </c>
      <c r="D341" s="46">
        <v>1.84E-4</v>
      </c>
      <c r="E341" s="36"/>
    </row>
    <row r="342" spans="1:5" ht="15.6" x14ac:dyDescent="0.3">
      <c r="A342" s="45" t="s">
        <v>71</v>
      </c>
      <c r="B342" s="14" t="s">
        <v>107</v>
      </c>
      <c r="C342" s="15">
        <v>276.2</v>
      </c>
      <c r="D342" s="46">
        <v>1.73E-4</v>
      </c>
      <c r="E342" s="36"/>
    </row>
    <row r="343" spans="1:5" ht="15.6" x14ac:dyDescent="0.3">
      <c r="A343" s="45" t="s">
        <v>22</v>
      </c>
      <c r="B343" s="14" t="s">
        <v>107</v>
      </c>
      <c r="C343" s="15">
        <v>250.17</v>
      </c>
      <c r="D343" s="46">
        <v>1.5699999999999999E-4</v>
      </c>
      <c r="E343" s="36"/>
    </row>
    <row r="344" spans="1:5" ht="15.6" x14ac:dyDescent="0.3">
      <c r="A344" s="45" t="s">
        <v>31</v>
      </c>
      <c r="B344" s="14" t="s">
        <v>107</v>
      </c>
      <c r="C344" s="15">
        <v>246.07</v>
      </c>
      <c r="D344" s="46">
        <v>1.54E-4</v>
      </c>
      <c r="E344" s="36"/>
    </row>
    <row r="345" spans="1:5" ht="15.6" x14ac:dyDescent="0.3">
      <c r="A345" s="45" t="s">
        <v>73</v>
      </c>
      <c r="B345" s="14" t="s">
        <v>107</v>
      </c>
      <c r="C345" s="15">
        <v>235.22</v>
      </c>
      <c r="D345" s="46">
        <v>1.4800000000000002E-4</v>
      </c>
      <c r="E345" s="36"/>
    </row>
    <row r="346" spans="1:5" ht="15.6" x14ac:dyDescent="0.3">
      <c r="A346" s="45" t="s">
        <v>83</v>
      </c>
      <c r="B346" s="14" t="s">
        <v>107</v>
      </c>
      <c r="C346" s="15">
        <v>206.37</v>
      </c>
      <c r="D346" s="46">
        <v>1.2899999999999999E-4</v>
      </c>
      <c r="E346" s="36"/>
    </row>
    <row r="347" spans="1:5" ht="15.6" x14ac:dyDescent="0.3">
      <c r="A347" s="45" t="s">
        <v>80</v>
      </c>
      <c r="B347" s="14" t="s">
        <v>107</v>
      </c>
      <c r="C347" s="15">
        <v>187.91</v>
      </c>
      <c r="D347" s="46">
        <v>1.18E-4</v>
      </c>
      <c r="E347" s="36"/>
    </row>
    <row r="348" spans="1:5" ht="15.6" x14ac:dyDescent="0.3">
      <c r="A348" s="45" t="s">
        <v>37</v>
      </c>
      <c r="B348" s="14" t="s">
        <v>107</v>
      </c>
      <c r="C348" s="15">
        <v>166.08</v>
      </c>
      <c r="D348" s="46">
        <v>1.0399999999999999E-4</v>
      </c>
      <c r="E348" s="36"/>
    </row>
    <row r="349" spans="1:5" ht="15.6" x14ac:dyDescent="0.3">
      <c r="A349" s="45" t="s">
        <v>66</v>
      </c>
      <c r="B349" s="14" t="s">
        <v>107</v>
      </c>
      <c r="C349" s="15">
        <v>143.41999999999999</v>
      </c>
      <c r="D349" s="46">
        <v>8.9999999999999992E-5</v>
      </c>
      <c r="E349" s="36"/>
    </row>
    <row r="350" spans="1:5" ht="15.6" x14ac:dyDescent="0.3">
      <c r="A350" s="45" t="s">
        <v>93</v>
      </c>
      <c r="B350" s="14" t="s">
        <v>107</v>
      </c>
      <c r="C350" s="15">
        <v>119.7</v>
      </c>
      <c r="D350" s="46">
        <v>7.4999999999999993E-5</v>
      </c>
      <c r="E350" s="36"/>
    </row>
    <row r="351" spans="1:5" ht="15.6" x14ac:dyDescent="0.3">
      <c r="A351" s="45" t="s">
        <v>97</v>
      </c>
      <c r="B351" s="14" t="s">
        <v>107</v>
      </c>
      <c r="C351" s="15">
        <v>94.45</v>
      </c>
      <c r="D351" s="46">
        <v>5.8999999999999998E-5</v>
      </c>
      <c r="E351" s="36"/>
    </row>
    <row r="352" spans="1:5" ht="15.6" x14ac:dyDescent="0.3">
      <c r="A352" s="45" t="s">
        <v>88</v>
      </c>
      <c r="B352" s="14" t="s">
        <v>107</v>
      </c>
      <c r="C352" s="15">
        <v>61.02</v>
      </c>
      <c r="D352" s="46">
        <v>3.8000000000000002E-5</v>
      </c>
      <c r="E352" s="36"/>
    </row>
    <row r="353" spans="1:5" ht="15.6" x14ac:dyDescent="0.3">
      <c r="A353" s="45" t="s">
        <v>81</v>
      </c>
      <c r="B353" s="14" t="s">
        <v>107</v>
      </c>
      <c r="C353" s="15">
        <v>56.46</v>
      </c>
      <c r="D353" s="46">
        <v>3.5000000000000004E-5</v>
      </c>
      <c r="E353" s="36"/>
    </row>
    <row r="354" spans="1:5" ht="15.6" x14ac:dyDescent="0.3">
      <c r="A354" s="45" t="s">
        <v>82</v>
      </c>
      <c r="B354" s="14" t="s">
        <v>107</v>
      </c>
      <c r="C354" s="15">
        <v>43.56</v>
      </c>
      <c r="D354" s="46">
        <v>2.7000000000000002E-5</v>
      </c>
      <c r="E354" s="36"/>
    </row>
    <row r="355" spans="1:5" ht="15.6" x14ac:dyDescent="0.3">
      <c r="A355" s="45" t="s">
        <v>59</v>
      </c>
      <c r="B355" s="14" t="s">
        <v>107</v>
      </c>
      <c r="C355" s="15">
        <v>25.3</v>
      </c>
      <c r="D355" s="46">
        <v>1.5999999999999999E-5</v>
      </c>
      <c r="E355" s="36"/>
    </row>
    <row r="356" spans="1:5" ht="15.6" x14ac:dyDescent="0.3">
      <c r="A356" s="45" t="s">
        <v>135</v>
      </c>
      <c r="B356" s="14" t="s">
        <v>107</v>
      </c>
      <c r="C356" s="15">
        <v>25.28</v>
      </c>
      <c r="D356" s="46">
        <v>1.5999999999999999E-5</v>
      </c>
      <c r="E356" s="36"/>
    </row>
    <row r="357" spans="1:5" ht="15.6" x14ac:dyDescent="0.3">
      <c r="A357" s="45" t="s">
        <v>72</v>
      </c>
      <c r="B357" s="14" t="s">
        <v>107</v>
      </c>
      <c r="C357" s="15">
        <v>24.7</v>
      </c>
      <c r="D357" s="46">
        <v>1.5E-5</v>
      </c>
      <c r="E357" s="36"/>
    </row>
    <row r="358" spans="1:5" ht="15.6" x14ac:dyDescent="0.3">
      <c r="A358" s="45" t="s">
        <v>56</v>
      </c>
      <c r="B358" s="14" t="s">
        <v>107</v>
      </c>
      <c r="C358" s="15">
        <v>19.98</v>
      </c>
      <c r="D358" s="46">
        <v>1.2999999999999999E-5</v>
      </c>
      <c r="E358" s="36"/>
    </row>
    <row r="359" spans="1:5" ht="15.6" x14ac:dyDescent="0.3">
      <c r="A359" s="45" t="s">
        <v>77</v>
      </c>
      <c r="B359" s="14" t="s">
        <v>107</v>
      </c>
      <c r="C359" s="15">
        <v>17.68</v>
      </c>
      <c r="D359" s="46">
        <v>1.1000000000000001E-5</v>
      </c>
      <c r="E359" s="36"/>
    </row>
    <row r="360" spans="1:5" ht="15.6" x14ac:dyDescent="0.3">
      <c r="A360" s="45" t="s">
        <v>132</v>
      </c>
      <c r="B360" s="14" t="s">
        <v>107</v>
      </c>
      <c r="C360" s="15">
        <v>12.62</v>
      </c>
      <c r="D360" s="46">
        <v>7.9999999999999996E-6</v>
      </c>
      <c r="E360" s="36"/>
    </row>
    <row r="361" spans="1:5" ht="15.6" x14ac:dyDescent="0.3">
      <c r="A361" s="45" t="s">
        <v>75</v>
      </c>
      <c r="B361" s="14" t="s">
        <v>107</v>
      </c>
      <c r="C361" s="15">
        <v>9.51</v>
      </c>
      <c r="D361" s="46">
        <v>5.9999999999999993E-6</v>
      </c>
      <c r="E361" s="36"/>
    </row>
    <row r="362" spans="1:5" ht="15.6" x14ac:dyDescent="0.3">
      <c r="A362" s="45" t="s">
        <v>100</v>
      </c>
      <c r="B362" s="14" t="s">
        <v>107</v>
      </c>
      <c r="C362" s="15">
        <v>8.8800000000000008</v>
      </c>
      <c r="D362" s="46">
        <v>5.9999999999999993E-6</v>
      </c>
      <c r="E362" s="36"/>
    </row>
    <row r="363" spans="1:5" ht="15.6" x14ac:dyDescent="0.3">
      <c r="A363" s="45" t="s">
        <v>85</v>
      </c>
      <c r="B363" s="14" t="s">
        <v>107</v>
      </c>
      <c r="C363" s="15">
        <v>4.38</v>
      </c>
      <c r="D363" s="46">
        <v>2.9999999999999997E-6</v>
      </c>
      <c r="E363" s="36"/>
    </row>
    <row r="364" spans="1:5" ht="15.6" x14ac:dyDescent="0.3">
      <c r="A364" s="45" t="s">
        <v>133</v>
      </c>
      <c r="B364" s="14" t="s">
        <v>107</v>
      </c>
      <c r="C364" s="15">
        <v>3.36</v>
      </c>
      <c r="D364" s="46">
        <v>1.9999999999999999E-6</v>
      </c>
      <c r="E364" s="36"/>
    </row>
    <row r="365" spans="1:5" ht="15.6" x14ac:dyDescent="0.3">
      <c r="A365" s="45" t="s">
        <v>4</v>
      </c>
      <c r="B365" s="14" t="s">
        <v>108</v>
      </c>
      <c r="C365" s="53">
        <v>232744.75</v>
      </c>
      <c r="D365" s="46">
        <v>0.120633</v>
      </c>
      <c r="E365" s="36"/>
    </row>
    <row r="366" spans="1:5" ht="15.6" x14ac:dyDescent="0.3">
      <c r="A366" s="45" t="s">
        <v>2</v>
      </c>
      <c r="B366" s="14" t="s">
        <v>108</v>
      </c>
      <c r="C366" s="53">
        <v>220603.49</v>
      </c>
      <c r="D366" s="46">
        <v>0.11434</v>
      </c>
      <c r="E366" s="36"/>
    </row>
    <row r="367" spans="1:5" ht="15.6" x14ac:dyDescent="0.3">
      <c r="A367" s="45" t="s">
        <v>1</v>
      </c>
      <c r="B367" s="14" t="s">
        <v>108</v>
      </c>
      <c r="C367" s="53">
        <v>209831.35</v>
      </c>
      <c r="D367" s="46">
        <v>0.10875700000000001</v>
      </c>
      <c r="E367" s="36"/>
    </row>
    <row r="368" spans="1:5" ht="15.6" x14ac:dyDescent="0.3">
      <c r="A368" s="45" t="s">
        <v>0</v>
      </c>
      <c r="B368" s="14" t="s">
        <v>108</v>
      </c>
      <c r="C368" s="53">
        <v>184682.27</v>
      </c>
      <c r="D368" s="46">
        <v>9.5722000000000002E-2</v>
      </c>
      <c r="E368" s="36"/>
    </row>
    <row r="369" spans="1:5" ht="15.6" x14ac:dyDescent="0.3">
      <c r="A369" s="45" t="s">
        <v>6</v>
      </c>
      <c r="B369" s="14" t="s">
        <v>108</v>
      </c>
      <c r="C369" s="53">
        <v>178689.55</v>
      </c>
      <c r="D369" s="46">
        <v>9.261599999999999E-2</v>
      </c>
      <c r="E369" s="36"/>
    </row>
    <row r="370" spans="1:5" ht="15.6" x14ac:dyDescent="0.3">
      <c r="A370" s="45" t="s">
        <v>16</v>
      </c>
      <c r="B370" s="14" t="s">
        <v>108</v>
      </c>
      <c r="C370" s="53">
        <v>124362.27</v>
      </c>
      <c r="D370" s="46">
        <v>6.4458000000000001E-2</v>
      </c>
      <c r="E370" s="36"/>
    </row>
    <row r="371" spans="1:5" ht="15.6" x14ac:dyDescent="0.3">
      <c r="A371" s="45" t="s">
        <v>3</v>
      </c>
      <c r="B371" s="14" t="s">
        <v>108</v>
      </c>
      <c r="C371" s="53">
        <v>119077.16</v>
      </c>
      <c r="D371" s="46">
        <v>6.1718000000000002E-2</v>
      </c>
      <c r="E371" s="36"/>
    </row>
    <row r="372" spans="1:5" ht="15.6" x14ac:dyDescent="0.3">
      <c r="A372" s="45" t="s">
        <v>8</v>
      </c>
      <c r="B372" s="14" t="s">
        <v>108</v>
      </c>
      <c r="C372" s="53">
        <v>86358.43</v>
      </c>
      <c r="D372" s="46">
        <v>4.4760000000000001E-2</v>
      </c>
      <c r="E372" s="36"/>
    </row>
    <row r="373" spans="1:5" ht="15.6" x14ac:dyDescent="0.3">
      <c r="A373" s="45" t="s">
        <v>15</v>
      </c>
      <c r="B373" s="14" t="s">
        <v>108</v>
      </c>
      <c r="C373" s="53">
        <v>74945.05</v>
      </c>
      <c r="D373" s="46">
        <v>3.8843999999999997E-2</v>
      </c>
      <c r="E373" s="36"/>
    </row>
    <row r="374" spans="1:5" ht="15.6" x14ac:dyDescent="0.3">
      <c r="A374" s="45" t="s">
        <v>10</v>
      </c>
      <c r="B374" s="14" t="s">
        <v>108</v>
      </c>
      <c r="C374" s="53">
        <v>55813.3</v>
      </c>
      <c r="D374" s="46">
        <v>2.8927999999999999E-2</v>
      </c>
      <c r="E374" s="36"/>
    </row>
    <row r="375" spans="1:5" ht="15.6" x14ac:dyDescent="0.3">
      <c r="A375" s="45" t="s">
        <v>12</v>
      </c>
      <c r="B375" s="14" t="s">
        <v>108</v>
      </c>
      <c r="C375" s="53">
        <v>52743.23</v>
      </c>
      <c r="D375" s="46">
        <v>2.7336999999999997E-2</v>
      </c>
      <c r="E375" s="36"/>
    </row>
    <row r="376" spans="1:5" ht="15.6" x14ac:dyDescent="0.3">
      <c r="A376" s="45" t="s">
        <v>146</v>
      </c>
      <c r="B376" s="14" t="s">
        <v>108</v>
      </c>
      <c r="C376" s="53">
        <v>45041.21</v>
      </c>
      <c r="D376" s="46">
        <v>2.3344999999999998E-2</v>
      </c>
      <c r="E376" s="36"/>
    </row>
    <row r="377" spans="1:5" ht="15.6" x14ac:dyDescent="0.3">
      <c r="A377" s="45" t="s">
        <v>14</v>
      </c>
      <c r="B377" s="14" t="s">
        <v>108</v>
      </c>
      <c r="C377" s="53">
        <v>38091.870000000003</v>
      </c>
      <c r="D377" s="46">
        <v>1.9743E-2</v>
      </c>
      <c r="E377" s="36"/>
    </row>
    <row r="378" spans="1:5" ht="15.6" x14ac:dyDescent="0.3">
      <c r="A378" s="45" t="s">
        <v>9</v>
      </c>
      <c r="B378" s="14" t="s">
        <v>108</v>
      </c>
      <c r="C378" s="53">
        <v>37044.47</v>
      </c>
      <c r="D378" s="46">
        <v>1.9199999999999998E-2</v>
      </c>
      <c r="E378" s="36"/>
    </row>
    <row r="379" spans="1:5" ht="15.6" x14ac:dyDescent="0.3">
      <c r="A379" s="45" t="s">
        <v>11</v>
      </c>
      <c r="B379" s="14" t="s">
        <v>108</v>
      </c>
      <c r="C379" s="53">
        <v>36020.699999999997</v>
      </c>
      <c r="D379" s="46">
        <v>1.8669999999999999E-2</v>
      </c>
      <c r="E379" s="36"/>
    </row>
    <row r="380" spans="1:5" ht="15.6" x14ac:dyDescent="0.3">
      <c r="A380" s="45" t="s">
        <v>20</v>
      </c>
      <c r="B380" s="14" t="s">
        <v>108</v>
      </c>
      <c r="C380" s="53">
        <v>28931.16</v>
      </c>
      <c r="D380" s="46">
        <v>1.4995000000000001E-2</v>
      </c>
      <c r="E380" s="36"/>
    </row>
    <row r="381" spans="1:5" ht="15.6" x14ac:dyDescent="0.3">
      <c r="A381" s="45" t="s">
        <v>7</v>
      </c>
      <c r="B381" s="14" t="s">
        <v>108</v>
      </c>
      <c r="C381" s="53">
        <v>20144.11</v>
      </c>
      <c r="D381" s="46">
        <v>1.0441000000000001E-2</v>
      </c>
      <c r="E381" s="36"/>
    </row>
    <row r="382" spans="1:5" ht="15.6" x14ac:dyDescent="0.3">
      <c r="A382" s="45" t="s">
        <v>13</v>
      </c>
      <c r="B382" s="14" t="s">
        <v>108</v>
      </c>
      <c r="C382" s="53">
        <v>19931.18</v>
      </c>
      <c r="D382" s="46">
        <v>1.0329999999999999E-2</v>
      </c>
      <c r="E382" s="36"/>
    </row>
    <row r="383" spans="1:5" ht="15.6" x14ac:dyDescent="0.3">
      <c r="A383" s="45" t="s">
        <v>21</v>
      </c>
      <c r="B383" s="14" t="s">
        <v>108</v>
      </c>
      <c r="C383" s="53">
        <v>12523.65</v>
      </c>
      <c r="D383" s="46">
        <v>6.4910000000000002E-3</v>
      </c>
      <c r="E383" s="36"/>
    </row>
    <row r="384" spans="1:5" ht="15.6" x14ac:dyDescent="0.3">
      <c r="A384" s="45" t="s">
        <v>130</v>
      </c>
      <c r="B384" s="14" t="s">
        <v>108</v>
      </c>
      <c r="C384" s="53">
        <v>12508.38</v>
      </c>
      <c r="D384" s="46">
        <v>6.483E-3</v>
      </c>
      <c r="E384" s="36"/>
    </row>
    <row r="385" spans="1:5" ht="15.6" x14ac:dyDescent="0.3">
      <c r="A385" s="45" t="s">
        <v>17</v>
      </c>
      <c r="B385" s="14" t="s">
        <v>108</v>
      </c>
      <c r="C385" s="53">
        <v>11546.96</v>
      </c>
      <c r="D385" s="46">
        <v>5.9850000000000007E-3</v>
      </c>
      <c r="E385" s="36"/>
    </row>
    <row r="386" spans="1:5" ht="15.6" x14ac:dyDescent="0.3">
      <c r="A386" s="45" t="s">
        <v>5</v>
      </c>
      <c r="B386" s="14" t="s">
        <v>108</v>
      </c>
      <c r="C386" s="53">
        <v>9884.5400000000009</v>
      </c>
      <c r="D386" s="46">
        <v>5.1229999999999999E-3</v>
      </c>
      <c r="E386" s="36"/>
    </row>
    <row r="387" spans="1:5" ht="15.6" x14ac:dyDescent="0.3">
      <c r="A387" s="45" t="s">
        <v>30</v>
      </c>
      <c r="B387" s="14" t="s">
        <v>108</v>
      </c>
      <c r="C387" s="53">
        <v>7758.47</v>
      </c>
      <c r="D387" s="46">
        <v>4.0210000000000003E-3</v>
      </c>
      <c r="E387" s="36"/>
    </row>
    <row r="388" spans="1:5" ht="15.6" x14ac:dyDescent="0.3">
      <c r="A388" s="45" t="s">
        <v>25</v>
      </c>
      <c r="B388" s="14" t="s">
        <v>108</v>
      </c>
      <c r="C388" s="53">
        <v>7158.24</v>
      </c>
      <c r="D388" s="46">
        <v>3.7099999999999998E-3</v>
      </c>
      <c r="E388" s="36"/>
    </row>
    <row r="389" spans="1:5" ht="15.6" x14ac:dyDescent="0.3">
      <c r="A389" s="45" t="s">
        <v>19</v>
      </c>
      <c r="B389" s="14" t="s">
        <v>108</v>
      </c>
      <c r="C389" s="53">
        <v>7002.63</v>
      </c>
      <c r="D389" s="46">
        <v>3.63E-3</v>
      </c>
      <c r="E389" s="36"/>
    </row>
    <row r="390" spans="1:5" ht="15.6" x14ac:dyDescent="0.3">
      <c r="A390" s="45" t="s">
        <v>24</v>
      </c>
      <c r="B390" s="14" t="s">
        <v>108</v>
      </c>
      <c r="C390" s="53">
        <v>6578.42</v>
      </c>
      <c r="D390" s="46">
        <v>3.4100000000000003E-3</v>
      </c>
      <c r="E390" s="36"/>
    </row>
    <row r="391" spans="1:5" ht="15.6" x14ac:dyDescent="0.3">
      <c r="A391" s="45" t="s">
        <v>42</v>
      </c>
      <c r="B391" s="14" t="s">
        <v>108</v>
      </c>
      <c r="C391" s="53">
        <v>5801</v>
      </c>
      <c r="D391" s="46">
        <v>3.0070000000000001E-3</v>
      </c>
      <c r="E391" s="36"/>
    </row>
    <row r="392" spans="1:5" ht="15.6" x14ac:dyDescent="0.3">
      <c r="A392" s="45" t="s">
        <v>29</v>
      </c>
      <c r="B392" s="14" t="s">
        <v>108</v>
      </c>
      <c r="C392" s="53">
        <v>5730.17</v>
      </c>
      <c r="D392" s="46">
        <v>2.97E-3</v>
      </c>
      <c r="E392" s="36"/>
    </row>
    <row r="393" spans="1:5" ht="15.6" x14ac:dyDescent="0.3">
      <c r="A393" s="45" t="s">
        <v>38</v>
      </c>
      <c r="B393" s="14" t="s">
        <v>108</v>
      </c>
      <c r="C393" s="53">
        <v>5607.62</v>
      </c>
      <c r="D393" s="46">
        <v>2.9060000000000002E-3</v>
      </c>
      <c r="E393" s="36"/>
    </row>
    <row r="394" spans="1:5" ht="15.6" x14ac:dyDescent="0.3">
      <c r="A394" s="45" t="s">
        <v>40</v>
      </c>
      <c r="B394" s="14" t="s">
        <v>108</v>
      </c>
      <c r="C394" s="53">
        <v>5585.97</v>
      </c>
      <c r="D394" s="46">
        <v>2.895E-3</v>
      </c>
      <c r="E394" s="36"/>
    </row>
    <row r="395" spans="1:5" ht="15.6" x14ac:dyDescent="0.3">
      <c r="A395" s="45" t="s">
        <v>32</v>
      </c>
      <c r="B395" s="14" t="s">
        <v>108</v>
      </c>
      <c r="C395" s="53">
        <v>5365.89</v>
      </c>
      <c r="D395" s="46">
        <v>2.7810000000000001E-3</v>
      </c>
      <c r="E395" s="36"/>
    </row>
    <row r="396" spans="1:5" ht="15.6" x14ac:dyDescent="0.3">
      <c r="A396" s="45" t="s">
        <v>74</v>
      </c>
      <c r="B396" s="14" t="s">
        <v>108</v>
      </c>
      <c r="C396" s="53">
        <v>5006.29</v>
      </c>
      <c r="D396" s="46">
        <v>2.5950000000000001E-3</v>
      </c>
      <c r="E396" s="36"/>
    </row>
    <row r="397" spans="1:5" ht="15.6" x14ac:dyDescent="0.3">
      <c r="A397" s="45" t="s">
        <v>95</v>
      </c>
      <c r="B397" s="14" t="s">
        <v>108</v>
      </c>
      <c r="C397" s="53">
        <v>4561.5600000000004</v>
      </c>
      <c r="D397" s="46">
        <v>2.3639999999999998E-3</v>
      </c>
      <c r="E397" s="36"/>
    </row>
    <row r="398" spans="1:5" ht="15.6" x14ac:dyDescent="0.3">
      <c r="A398" s="45" t="s">
        <v>26</v>
      </c>
      <c r="B398" s="14" t="s">
        <v>108</v>
      </c>
      <c r="C398" s="53">
        <v>4033.17</v>
      </c>
      <c r="D398" s="46">
        <v>2.0899999999999998E-3</v>
      </c>
      <c r="E398" s="36"/>
    </row>
    <row r="399" spans="1:5" ht="15.6" x14ac:dyDescent="0.3">
      <c r="A399" s="45" t="s">
        <v>39</v>
      </c>
      <c r="B399" s="14" t="s">
        <v>108</v>
      </c>
      <c r="C399" s="53">
        <v>3585.14</v>
      </c>
      <c r="D399" s="46">
        <v>1.8579999999999998E-3</v>
      </c>
      <c r="E399" s="36"/>
    </row>
    <row r="400" spans="1:5" ht="15.6" x14ac:dyDescent="0.3">
      <c r="A400" s="45" t="s">
        <v>145</v>
      </c>
      <c r="B400" s="14" t="s">
        <v>108</v>
      </c>
      <c r="C400" s="53">
        <v>3466.32</v>
      </c>
      <c r="D400" s="46">
        <v>1.797E-3</v>
      </c>
      <c r="E400" s="36"/>
    </row>
    <row r="401" spans="1:5" ht="15.6" x14ac:dyDescent="0.3">
      <c r="A401" s="45" t="s">
        <v>27</v>
      </c>
      <c r="B401" s="14" t="s">
        <v>108</v>
      </c>
      <c r="C401" s="53">
        <v>3392</v>
      </c>
      <c r="D401" s="46">
        <v>1.758E-3</v>
      </c>
      <c r="E401" s="36"/>
    </row>
    <row r="402" spans="1:5" ht="15.6" x14ac:dyDescent="0.3">
      <c r="A402" s="45" t="s">
        <v>23</v>
      </c>
      <c r="B402" s="14" t="s">
        <v>108</v>
      </c>
      <c r="C402" s="53">
        <v>3203.39</v>
      </c>
      <c r="D402" s="46">
        <v>1.66E-3</v>
      </c>
      <c r="E402" s="36"/>
    </row>
    <row r="403" spans="1:5" ht="15.6" x14ac:dyDescent="0.3">
      <c r="A403" s="45" t="s">
        <v>41</v>
      </c>
      <c r="B403" s="14" t="s">
        <v>108</v>
      </c>
      <c r="C403" s="53">
        <v>2953.34</v>
      </c>
      <c r="D403" s="46">
        <v>1.5310000000000002E-3</v>
      </c>
      <c r="E403" s="36"/>
    </row>
    <row r="404" spans="1:5" ht="15.6" x14ac:dyDescent="0.3">
      <c r="A404" s="45" t="s">
        <v>46</v>
      </c>
      <c r="B404" s="14" t="s">
        <v>108</v>
      </c>
      <c r="C404" s="53">
        <v>2560.0500000000002</v>
      </c>
      <c r="D404" s="46">
        <v>1.3270000000000001E-3</v>
      </c>
      <c r="E404" s="36"/>
    </row>
    <row r="405" spans="1:5" ht="15.6" x14ac:dyDescent="0.3">
      <c r="A405" s="45" t="s">
        <v>33</v>
      </c>
      <c r="B405" s="14" t="s">
        <v>108</v>
      </c>
      <c r="C405" s="53">
        <v>2519.06</v>
      </c>
      <c r="D405" s="46">
        <v>1.3059999999999999E-3</v>
      </c>
      <c r="E405" s="36"/>
    </row>
    <row r="406" spans="1:5" ht="15.6" x14ac:dyDescent="0.3">
      <c r="A406" s="45" t="s">
        <v>51</v>
      </c>
      <c r="B406" s="14" t="s">
        <v>108</v>
      </c>
      <c r="C406" s="53">
        <v>2422.14</v>
      </c>
      <c r="D406" s="46">
        <v>1.255E-3</v>
      </c>
      <c r="E406" s="36"/>
    </row>
    <row r="407" spans="1:5" ht="15.6" x14ac:dyDescent="0.3">
      <c r="A407" s="45" t="s">
        <v>63</v>
      </c>
      <c r="B407" s="14" t="s">
        <v>108</v>
      </c>
      <c r="C407" s="53">
        <v>2203.81</v>
      </c>
      <c r="D407" s="46">
        <v>1.142E-3</v>
      </c>
      <c r="E407" s="36"/>
    </row>
    <row r="408" spans="1:5" ht="15.6" x14ac:dyDescent="0.3">
      <c r="A408" s="45" t="s">
        <v>45</v>
      </c>
      <c r="B408" s="14" t="s">
        <v>108</v>
      </c>
      <c r="C408" s="53">
        <v>1659.46</v>
      </c>
      <c r="D408" s="46">
        <v>8.5999999999999998E-4</v>
      </c>
      <c r="E408" s="36"/>
    </row>
    <row r="409" spans="1:5" ht="15.6" x14ac:dyDescent="0.3">
      <c r="A409" s="45" t="s">
        <v>54</v>
      </c>
      <c r="B409" s="14" t="s">
        <v>108</v>
      </c>
      <c r="C409" s="53">
        <v>1653.77</v>
      </c>
      <c r="D409" s="46">
        <v>8.5700000000000001E-4</v>
      </c>
      <c r="E409" s="36"/>
    </row>
    <row r="410" spans="1:5" ht="15.6" x14ac:dyDescent="0.3">
      <c r="A410" s="45" t="s">
        <v>43</v>
      </c>
      <c r="B410" s="14" t="s">
        <v>108</v>
      </c>
      <c r="C410" s="53">
        <v>1379.33</v>
      </c>
      <c r="D410" s="46">
        <v>7.1499999999999992E-4</v>
      </c>
      <c r="E410" s="36"/>
    </row>
    <row r="411" spans="1:5" ht="15.6" x14ac:dyDescent="0.3">
      <c r="A411" s="45" t="s">
        <v>47</v>
      </c>
      <c r="B411" s="14" t="s">
        <v>108</v>
      </c>
      <c r="C411" s="53">
        <v>1376.17</v>
      </c>
      <c r="D411" s="46">
        <v>7.1299999999999998E-4</v>
      </c>
      <c r="E411" s="36"/>
    </row>
    <row r="412" spans="1:5" ht="15.6" x14ac:dyDescent="0.3">
      <c r="A412" s="45" t="s">
        <v>35</v>
      </c>
      <c r="B412" s="14" t="s">
        <v>108</v>
      </c>
      <c r="C412" s="53">
        <v>1042.27</v>
      </c>
      <c r="D412" s="46">
        <v>5.4000000000000001E-4</v>
      </c>
      <c r="E412" s="36"/>
    </row>
    <row r="413" spans="1:5" ht="15.6" x14ac:dyDescent="0.3">
      <c r="A413" s="45" t="s">
        <v>37</v>
      </c>
      <c r="B413" s="14" t="s">
        <v>108</v>
      </c>
      <c r="C413" s="53">
        <v>953.75</v>
      </c>
      <c r="D413" s="46">
        <v>4.9399999999999997E-4</v>
      </c>
      <c r="E413" s="36"/>
    </row>
    <row r="414" spans="1:5" ht="15.6" x14ac:dyDescent="0.3">
      <c r="A414" s="45" t="s">
        <v>49</v>
      </c>
      <c r="B414" s="14" t="s">
        <v>108</v>
      </c>
      <c r="C414" s="53">
        <v>884.32</v>
      </c>
      <c r="D414" s="46">
        <v>4.5800000000000002E-4</v>
      </c>
      <c r="E414" s="36"/>
    </row>
    <row r="415" spans="1:5" ht="15.6" x14ac:dyDescent="0.3">
      <c r="A415" s="45" t="s">
        <v>28</v>
      </c>
      <c r="B415" s="14" t="s">
        <v>108</v>
      </c>
      <c r="C415" s="53">
        <v>867.74</v>
      </c>
      <c r="D415" s="46">
        <v>4.4999999999999999E-4</v>
      </c>
      <c r="E415" s="36"/>
    </row>
    <row r="416" spans="1:5" ht="15.6" x14ac:dyDescent="0.3">
      <c r="A416" s="45" t="s">
        <v>61</v>
      </c>
      <c r="B416" s="14" t="s">
        <v>108</v>
      </c>
      <c r="C416" s="53">
        <v>835.12</v>
      </c>
      <c r="D416" s="46">
        <v>4.3300000000000001E-4</v>
      </c>
      <c r="E416" s="36"/>
    </row>
    <row r="417" spans="1:5" ht="15.6" x14ac:dyDescent="0.3">
      <c r="A417" s="45" t="s">
        <v>64</v>
      </c>
      <c r="B417" s="14" t="s">
        <v>108</v>
      </c>
      <c r="C417" s="53">
        <v>761.5</v>
      </c>
      <c r="D417" s="46">
        <v>3.9500000000000001E-4</v>
      </c>
      <c r="E417" s="36"/>
    </row>
    <row r="418" spans="1:5" ht="15.6" x14ac:dyDescent="0.3">
      <c r="A418" s="45" t="s">
        <v>67</v>
      </c>
      <c r="B418" s="14" t="s">
        <v>108</v>
      </c>
      <c r="C418" s="53">
        <v>737.13</v>
      </c>
      <c r="D418" s="46">
        <v>3.8199999999999996E-4</v>
      </c>
      <c r="E418" s="36"/>
    </row>
    <row r="419" spans="1:5" ht="15.6" x14ac:dyDescent="0.3">
      <c r="A419" s="45" t="s">
        <v>50</v>
      </c>
      <c r="B419" s="14" t="s">
        <v>108</v>
      </c>
      <c r="C419" s="53">
        <v>713.83</v>
      </c>
      <c r="D419" s="46">
        <v>3.6999999999999999E-4</v>
      </c>
      <c r="E419" s="36"/>
    </row>
    <row r="420" spans="1:5" ht="15.6" x14ac:dyDescent="0.3">
      <c r="A420" s="45" t="s">
        <v>62</v>
      </c>
      <c r="B420" s="14" t="s">
        <v>108</v>
      </c>
      <c r="C420" s="53">
        <v>690.6</v>
      </c>
      <c r="D420" s="46">
        <v>3.5799999999999997E-4</v>
      </c>
      <c r="E420" s="36"/>
    </row>
    <row r="421" spans="1:5" ht="15.6" x14ac:dyDescent="0.3">
      <c r="A421" s="45" t="s">
        <v>56</v>
      </c>
      <c r="B421" s="14" t="s">
        <v>108</v>
      </c>
      <c r="C421" s="53">
        <v>596.54</v>
      </c>
      <c r="D421" s="46">
        <v>3.0900000000000003E-4</v>
      </c>
      <c r="E421" s="36"/>
    </row>
    <row r="422" spans="1:5" ht="15.6" x14ac:dyDescent="0.3">
      <c r="A422" s="45" t="s">
        <v>76</v>
      </c>
      <c r="B422" s="14" t="s">
        <v>108</v>
      </c>
      <c r="C422" s="53">
        <v>568.88</v>
      </c>
      <c r="D422" s="46">
        <v>2.9499999999999996E-4</v>
      </c>
      <c r="E422" s="36"/>
    </row>
    <row r="423" spans="1:5" ht="15.6" x14ac:dyDescent="0.3">
      <c r="A423" s="45" t="s">
        <v>31</v>
      </c>
      <c r="B423" s="14" t="s">
        <v>108</v>
      </c>
      <c r="C423" s="53">
        <v>565.58000000000004</v>
      </c>
      <c r="D423" s="46">
        <v>2.9300000000000002E-4</v>
      </c>
      <c r="E423" s="36"/>
    </row>
    <row r="424" spans="1:5" ht="15.6" x14ac:dyDescent="0.3">
      <c r="A424" s="45" t="s">
        <v>90</v>
      </c>
      <c r="B424" s="14" t="s">
        <v>108</v>
      </c>
      <c r="C424" s="53">
        <v>537.33000000000004</v>
      </c>
      <c r="D424" s="46">
        <v>2.7900000000000001E-4</v>
      </c>
      <c r="E424" s="36"/>
    </row>
    <row r="425" spans="1:5" ht="15.6" x14ac:dyDescent="0.3">
      <c r="A425" s="45" t="s">
        <v>18</v>
      </c>
      <c r="B425" s="14" t="s">
        <v>108</v>
      </c>
      <c r="C425" s="53">
        <v>529.88</v>
      </c>
      <c r="D425" s="46">
        <v>2.7500000000000002E-4</v>
      </c>
      <c r="E425" s="36"/>
    </row>
    <row r="426" spans="1:5" ht="15.6" x14ac:dyDescent="0.3">
      <c r="A426" s="45" t="s">
        <v>149</v>
      </c>
      <c r="B426" s="14" t="s">
        <v>108</v>
      </c>
      <c r="C426" s="53">
        <v>490.5</v>
      </c>
      <c r="D426" s="46">
        <v>2.5399999999999999E-4</v>
      </c>
      <c r="E426" s="36"/>
    </row>
    <row r="427" spans="1:5" ht="15.6" x14ac:dyDescent="0.3">
      <c r="A427" s="45" t="s">
        <v>60</v>
      </c>
      <c r="B427" s="14" t="s">
        <v>108</v>
      </c>
      <c r="C427" s="53">
        <v>442.08</v>
      </c>
      <c r="D427" s="46">
        <v>2.2900000000000001E-4</v>
      </c>
      <c r="E427" s="36"/>
    </row>
    <row r="428" spans="1:5" ht="15.6" x14ac:dyDescent="0.3">
      <c r="A428" s="45" t="s">
        <v>34</v>
      </c>
      <c r="B428" s="14" t="s">
        <v>108</v>
      </c>
      <c r="C428" s="53">
        <v>411.73</v>
      </c>
      <c r="D428" s="46">
        <v>2.13E-4</v>
      </c>
      <c r="E428" s="36"/>
    </row>
    <row r="429" spans="1:5" ht="15.6" x14ac:dyDescent="0.3">
      <c r="A429" s="45" t="s">
        <v>65</v>
      </c>
      <c r="B429" s="14" t="s">
        <v>108</v>
      </c>
      <c r="C429" s="53">
        <v>384.38</v>
      </c>
      <c r="D429" s="46">
        <v>1.9900000000000001E-4</v>
      </c>
      <c r="E429" s="36"/>
    </row>
    <row r="430" spans="1:5" ht="15.6" x14ac:dyDescent="0.3">
      <c r="A430" s="45" t="s">
        <v>55</v>
      </c>
      <c r="B430" s="14" t="s">
        <v>108</v>
      </c>
      <c r="C430" s="53">
        <v>381.85</v>
      </c>
      <c r="D430" s="46">
        <v>1.9800000000000002E-4</v>
      </c>
      <c r="E430" s="36"/>
    </row>
    <row r="431" spans="1:5" ht="15.6" x14ac:dyDescent="0.3">
      <c r="A431" s="45" t="s">
        <v>75</v>
      </c>
      <c r="B431" s="14" t="s">
        <v>108</v>
      </c>
      <c r="C431" s="53">
        <v>294.76</v>
      </c>
      <c r="D431" s="46">
        <v>1.5300000000000001E-4</v>
      </c>
      <c r="E431" s="36"/>
    </row>
    <row r="432" spans="1:5" ht="15.6" x14ac:dyDescent="0.3">
      <c r="A432" s="45" t="s">
        <v>52</v>
      </c>
      <c r="B432" s="14" t="s">
        <v>108</v>
      </c>
      <c r="C432" s="53">
        <v>233.38</v>
      </c>
      <c r="D432" s="46">
        <v>1.21E-4</v>
      </c>
      <c r="E432" s="36"/>
    </row>
    <row r="433" spans="1:5" ht="15.6" x14ac:dyDescent="0.3">
      <c r="A433" s="45" t="s">
        <v>44</v>
      </c>
      <c r="B433" s="14" t="s">
        <v>108</v>
      </c>
      <c r="C433" s="53">
        <v>215.99</v>
      </c>
      <c r="D433" s="46">
        <v>1.12E-4</v>
      </c>
      <c r="E433" s="36"/>
    </row>
    <row r="434" spans="1:5" ht="15.6" x14ac:dyDescent="0.3">
      <c r="A434" s="45" t="s">
        <v>37</v>
      </c>
      <c r="B434" s="14" t="s">
        <v>108</v>
      </c>
      <c r="C434" s="53">
        <v>196.64</v>
      </c>
      <c r="D434" s="46">
        <v>1.0200000000000001E-4</v>
      </c>
      <c r="E434" s="36"/>
    </row>
    <row r="435" spans="1:5" ht="15.6" x14ac:dyDescent="0.3">
      <c r="A435" s="45" t="s">
        <v>53</v>
      </c>
      <c r="B435" s="14" t="s">
        <v>108</v>
      </c>
      <c r="C435" s="53">
        <v>184.85</v>
      </c>
      <c r="D435" s="46">
        <v>9.5999999999999989E-5</v>
      </c>
      <c r="E435" s="36"/>
    </row>
    <row r="436" spans="1:5" ht="15.6" x14ac:dyDescent="0.3">
      <c r="A436" s="45" t="s">
        <v>84</v>
      </c>
      <c r="B436" s="14" t="s">
        <v>108</v>
      </c>
      <c r="C436" s="53">
        <v>184.26</v>
      </c>
      <c r="D436" s="46">
        <v>9.5999999999999989E-5</v>
      </c>
      <c r="E436" s="36"/>
    </row>
    <row r="437" spans="1:5" ht="15.6" x14ac:dyDescent="0.3">
      <c r="A437" s="45" t="s">
        <v>80</v>
      </c>
      <c r="B437" s="14" t="s">
        <v>108</v>
      </c>
      <c r="C437" s="53">
        <v>183</v>
      </c>
      <c r="D437" s="46">
        <v>9.4999999999999992E-5</v>
      </c>
      <c r="E437" s="36"/>
    </row>
    <row r="438" spans="1:5" ht="15.6" x14ac:dyDescent="0.3">
      <c r="A438" s="45" t="s">
        <v>58</v>
      </c>
      <c r="B438" s="14" t="s">
        <v>108</v>
      </c>
      <c r="C438" s="53">
        <v>178.1</v>
      </c>
      <c r="D438" s="46">
        <v>9.2E-5</v>
      </c>
      <c r="E438" s="36"/>
    </row>
    <row r="439" spans="1:5" ht="15.6" x14ac:dyDescent="0.3">
      <c r="A439" s="45" t="s">
        <v>93</v>
      </c>
      <c r="B439" s="14" t="s">
        <v>108</v>
      </c>
      <c r="C439" s="53">
        <v>159.6</v>
      </c>
      <c r="D439" s="46">
        <v>8.2999999999999998E-5</v>
      </c>
      <c r="E439" s="36"/>
    </row>
    <row r="440" spans="1:5" ht="15.6" x14ac:dyDescent="0.3">
      <c r="A440" s="45" t="s">
        <v>96</v>
      </c>
      <c r="B440" s="14" t="s">
        <v>108</v>
      </c>
      <c r="C440" s="53">
        <v>158.85</v>
      </c>
      <c r="D440" s="46">
        <v>8.2000000000000001E-5</v>
      </c>
      <c r="E440" s="36"/>
    </row>
    <row r="441" spans="1:5" ht="15.6" x14ac:dyDescent="0.3">
      <c r="A441" s="45" t="s">
        <v>22</v>
      </c>
      <c r="B441" s="14" t="s">
        <v>108</v>
      </c>
      <c r="C441" s="53">
        <v>149.5</v>
      </c>
      <c r="D441" s="46">
        <v>7.7000000000000001E-5</v>
      </c>
      <c r="E441" s="36"/>
    </row>
    <row r="442" spans="1:5" ht="15.6" x14ac:dyDescent="0.3">
      <c r="A442" s="45" t="s">
        <v>79</v>
      </c>
      <c r="B442" s="14" t="s">
        <v>108</v>
      </c>
      <c r="C442" s="53">
        <v>145.96</v>
      </c>
      <c r="D442" s="46">
        <v>7.6000000000000004E-5</v>
      </c>
      <c r="E442" s="36"/>
    </row>
    <row r="443" spans="1:5" ht="15.6" x14ac:dyDescent="0.3">
      <c r="A443" s="45" t="s">
        <v>68</v>
      </c>
      <c r="B443" s="14" t="s">
        <v>108</v>
      </c>
      <c r="C443" s="53">
        <v>89.75</v>
      </c>
      <c r="D443" s="46">
        <v>4.7000000000000004E-5</v>
      </c>
      <c r="E443" s="36"/>
    </row>
    <row r="444" spans="1:5" ht="15.6" x14ac:dyDescent="0.3">
      <c r="A444" s="45" t="s">
        <v>73</v>
      </c>
      <c r="B444" s="14" t="s">
        <v>108</v>
      </c>
      <c r="C444" s="53">
        <v>89.51</v>
      </c>
      <c r="D444" s="46">
        <v>4.6E-5</v>
      </c>
      <c r="E444" s="36"/>
    </row>
    <row r="445" spans="1:5" ht="15.6" x14ac:dyDescent="0.3">
      <c r="A445" s="45" t="s">
        <v>81</v>
      </c>
      <c r="B445" s="14" t="s">
        <v>108</v>
      </c>
      <c r="C445" s="53">
        <v>75.400000000000006</v>
      </c>
      <c r="D445" s="46">
        <v>3.8999999999999999E-5</v>
      </c>
      <c r="E445" s="36"/>
    </row>
    <row r="446" spans="1:5" ht="15.6" x14ac:dyDescent="0.3">
      <c r="A446" s="45" t="s">
        <v>83</v>
      </c>
      <c r="B446" s="14" t="s">
        <v>108</v>
      </c>
      <c r="C446" s="53">
        <v>66.41</v>
      </c>
      <c r="D446" s="46">
        <v>3.4E-5</v>
      </c>
      <c r="E446" s="36"/>
    </row>
    <row r="447" spans="1:5" ht="15.6" x14ac:dyDescent="0.3">
      <c r="A447" s="45" t="s">
        <v>66</v>
      </c>
      <c r="B447" s="14" t="s">
        <v>108</v>
      </c>
      <c r="C447" s="53">
        <v>63.72</v>
      </c>
      <c r="D447" s="46">
        <v>3.3000000000000003E-5</v>
      </c>
      <c r="E447" s="36"/>
    </row>
    <row r="448" spans="1:5" ht="15.6" x14ac:dyDescent="0.3">
      <c r="A448" s="45" t="s">
        <v>97</v>
      </c>
      <c r="B448" s="14" t="s">
        <v>108</v>
      </c>
      <c r="C448" s="53">
        <v>61.8</v>
      </c>
      <c r="D448" s="46">
        <v>3.1999999999999999E-5</v>
      </c>
      <c r="E448" s="36"/>
    </row>
    <row r="449" spans="1:5" ht="15.6" x14ac:dyDescent="0.3">
      <c r="A449" s="45" t="s">
        <v>78</v>
      </c>
      <c r="B449" s="14" t="s">
        <v>108</v>
      </c>
      <c r="C449" s="53">
        <v>48.36</v>
      </c>
      <c r="D449" s="46">
        <v>2.5000000000000001E-5</v>
      </c>
      <c r="E449" s="36"/>
    </row>
    <row r="450" spans="1:5" ht="15.6" x14ac:dyDescent="0.3">
      <c r="A450" s="45" t="s">
        <v>88</v>
      </c>
      <c r="B450" s="14" t="s">
        <v>108</v>
      </c>
      <c r="C450" s="53">
        <v>38.94</v>
      </c>
      <c r="D450" s="46">
        <v>2.0000000000000002E-5</v>
      </c>
      <c r="E450" s="36"/>
    </row>
    <row r="451" spans="1:5" ht="15.6" x14ac:dyDescent="0.3">
      <c r="A451" s="45" t="s">
        <v>77</v>
      </c>
      <c r="B451" s="14" t="s">
        <v>108</v>
      </c>
      <c r="C451" s="53">
        <v>28.62</v>
      </c>
      <c r="D451" s="46">
        <v>1.5E-5</v>
      </c>
      <c r="E451" s="36"/>
    </row>
    <row r="452" spans="1:5" ht="15.6" x14ac:dyDescent="0.3">
      <c r="A452" s="45" t="s">
        <v>94</v>
      </c>
      <c r="B452" s="14" t="s">
        <v>108</v>
      </c>
      <c r="C452" s="53">
        <v>24.69</v>
      </c>
      <c r="D452" s="46">
        <v>1.2999999999999999E-5</v>
      </c>
      <c r="E452" s="36"/>
    </row>
    <row r="453" spans="1:5" ht="15.6" x14ac:dyDescent="0.3">
      <c r="A453" s="45" t="s">
        <v>100</v>
      </c>
      <c r="B453" s="14" t="s">
        <v>108</v>
      </c>
      <c r="C453" s="53">
        <v>6.94</v>
      </c>
      <c r="D453" s="46">
        <v>3.9999999999999998E-6</v>
      </c>
      <c r="E453" s="36"/>
    </row>
    <row r="454" spans="1:5" ht="15.6" x14ac:dyDescent="0.3">
      <c r="A454" s="45" t="s">
        <v>133</v>
      </c>
      <c r="B454" s="14" t="s">
        <v>108</v>
      </c>
      <c r="C454" s="53">
        <v>6.4</v>
      </c>
      <c r="D454" s="46">
        <v>2.9999999999999997E-6</v>
      </c>
      <c r="E454" s="36"/>
    </row>
    <row r="455" spans="1:5" ht="15.6" x14ac:dyDescent="0.3">
      <c r="A455" s="54" t="s">
        <v>1</v>
      </c>
      <c r="B455" s="52" t="s">
        <v>158</v>
      </c>
      <c r="C455" s="53">
        <v>46750.07</v>
      </c>
      <c r="D455" s="47">
        <v>0.17257400000000001</v>
      </c>
      <c r="E455" s="50"/>
    </row>
    <row r="456" spans="1:5" ht="15.6" x14ac:dyDescent="0.3">
      <c r="A456" s="54" t="s">
        <v>0</v>
      </c>
      <c r="B456" s="52" t="s">
        <v>158</v>
      </c>
      <c r="C456" s="53">
        <v>31181.62</v>
      </c>
      <c r="D456" s="47">
        <v>0.11510400000000001</v>
      </c>
      <c r="E456" s="50"/>
    </row>
    <row r="457" spans="1:5" ht="15.6" x14ac:dyDescent="0.3">
      <c r="A457" s="54" t="s">
        <v>3</v>
      </c>
      <c r="B457" s="52" t="s">
        <v>158</v>
      </c>
      <c r="C457" s="53">
        <v>25465.37</v>
      </c>
      <c r="D457" s="47">
        <v>9.4003000000000003E-2</v>
      </c>
      <c r="E457" s="50"/>
    </row>
    <row r="458" spans="1:5" ht="15.6" x14ac:dyDescent="0.3">
      <c r="A458" s="54" t="s">
        <v>4</v>
      </c>
      <c r="B458" s="52" t="s">
        <v>158</v>
      </c>
      <c r="C458" s="53">
        <v>24688.57</v>
      </c>
      <c r="D458" s="47">
        <v>9.1135999999999995E-2</v>
      </c>
      <c r="E458" s="50"/>
    </row>
    <row r="459" spans="1:5" ht="15.6" x14ac:dyDescent="0.3">
      <c r="A459" s="54" t="s">
        <v>16</v>
      </c>
      <c r="B459" s="52" t="s">
        <v>158</v>
      </c>
      <c r="C459" s="53">
        <v>23066.44</v>
      </c>
      <c r="D459" s="47">
        <v>8.5147999999999988E-2</v>
      </c>
      <c r="E459" s="50"/>
    </row>
    <row r="460" spans="1:5" ht="15.6" x14ac:dyDescent="0.3">
      <c r="A460" s="54" t="s">
        <v>2</v>
      </c>
      <c r="B460" s="52" t="s">
        <v>158</v>
      </c>
      <c r="C460" s="53">
        <v>22960.83</v>
      </c>
      <c r="D460" s="47">
        <v>8.4758E-2</v>
      </c>
      <c r="E460" s="50"/>
    </row>
    <row r="461" spans="1:5" ht="15.6" x14ac:dyDescent="0.3">
      <c r="A461" s="54" t="s">
        <v>10</v>
      </c>
      <c r="B461" s="52" t="s">
        <v>158</v>
      </c>
      <c r="C461" s="53">
        <v>12048.05</v>
      </c>
      <c r="D461" s="47">
        <v>4.4474E-2</v>
      </c>
      <c r="E461" s="50"/>
    </row>
    <row r="462" spans="1:5" ht="15.6" x14ac:dyDescent="0.3">
      <c r="A462" s="54" t="s">
        <v>8</v>
      </c>
      <c r="B462" s="52" t="s">
        <v>158</v>
      </c>
      <c r="C462" s="53">
        <v>10401.85</v>
      </c>
      <c r="D462" s="47">
        <v>3.8397000000000001E-2</v>
      </c>
      <c r="E462" s="50"/>
    </row>
    <row r="463" spans="1:5" ht="15.6" x14ac:dyDescent="0.3">
      <c r="A463" s="54" t="s">
        <v>6</v>
      </c>
      <c r="B463" s="52" t="s">
        <v>158</v>
      </c>
      <c r="C463" s="53">
        <v>8051.08</v>
      </c>
      <c r="D463" s="47">
        <v>2.972E-2</v>
      </c>
      <c r="E463" s="50"/>
    </row>
    <row r="464" spans="1:5" ht="15.6" x14ac:dyDescent="0.3">
      <c r="A464" s="54" t="s">
        <v>13</v>
      </c>
      <c r="B464" s="52" t="s">
        <v>158</v>
      </c>
      <c r="C464" s="53">
        <v>7159.46</v>
      </c>
      <c r="D464" s="47">
        <v>2.6427999999999997E-2</v>
      </c>
      <c r="E464" s="50"/>
    </row>
    <row r="465" spans="1:5" ht="15.6" x14ac:dyDescent="0.3">
      <c r="A465" s="54" t="s">
        <v>15</v>
      </c>
      <c r="B465" s="52" t="s">
        <v>158</v>
      </c>
      <c r="C465" s="53">
        <v>6633.9</v>
      </c>
      <c r="D465" s="47">
        <v>2.4487999999999999E-2</v>
      </c>
      <c r="E465" s="50"/>
    </row>
    <row r="466" spans="1:5" ht="15.6" x14ac:dyDescent="0.3">
      <c r="A466" s="54" t="s">
        <v>11</v>
      </c>
      <c r="B466" s="52" t="s">
        <v>158</v>
      </c>
      <c r="C466" s="53">
        <v>6438.53</v>
      </c>
      <c r="D466" s="47">
        <v>2.3767E-2</v>
      </c>
      <c r="E466" s="50"/>
    </row>
    <row r="467" spans="1:5" ht="15.6" x14ac:dyDescent="0.3">
      <c r="A467" s="54" t="s">
        <v>12</v>
      </c>
      <c r="B467" s="52" t="s">
        <v>158</v>
      </c>
      <c r="C467" s="53">
        <v>6308.66</v>
      </c>
      <c r="D467" s="47">
        <v>2.3288000000000003E-2</v>
      </c>
      <c r="E467" s="50"/>
    </row>
    <row r="468" spans="1:5" ht="15.6" x14ac:dyDescent="0.3">
      <c r="A468" s="54" t="s">
        <v>14</v>
      </c>
      <c r="B468" s="52" t="s">
        <v>158</v>
      </c>
      <c r="C468" s="53">
        <v>3771.74</v>
      </c>
      <c r="D468" s="47">
        <v>1.3923000000000001E-2</v>
      </c>
      <c r="E468" s="50"/>
    </row>
    <row r="469" spans="1:5" ht="15.6" x14ac:dyDescent="0.3">
      <c r="A469" s="54" t="s">
        <v>29</v>
      </c>
      <c r="B469" s="52" t="s">
        <v>158</v>
      </c>
      <c r="C469" s="53">
        <v>2814.53</v>
      </c>
      <c r="D469" s="47">
        <v>1.039E-2</v>
      </c>
      <c r="E469" s="50"/>
    </row>
    <row r="470" spans="1:5" ht="15.6" x14ac:dyDescent="0.3">
      <c r="A470" s="54" t="s">
        <v>21</v>
      </c>
      <c r="B470" s="52" t="s">
        <v>158</v>
      </c>
      <c r="C470" s="53">
        <v>2554.7399999999998</v>
      </c>
      <c r="D470" s="47">
        <v>9.4310000000000001E-3</v>
      </c>
      <c r="E470" s="50"/>
    </row>
    <row r="471" spans="1:5" ht="15.6" x14ac:dyDescent="0.3">
      <c r="A471" s="54" t="s">
        <v>17</v>
      </c>
      <c r="B471" s="52" t="s">
        <v>158</v>
      </c>
      <c r="C471" s="53">
        <v>2407.5100000000002</v>
      </c>
      <c r="D471" s="47">
        <v>8.8870000000000008E-3</v>
      </c>
      <c r="E471" s="50"/>
    </row>
    <row r="472" spans="1:5" ht="15.6" x14ac:dyDescent="0.3">
      <c r="A472" s="54" t="s">
        <v>20</v>
      </c>
      <c r="B472" s="52" t="s">
        <v>158</v>
      </c>
      <c r="C472" s="53">
        <v>2245.6799999999998</v>
      </c>
      <c r="D472" s="47">
        <v>8.2899999999999988E-3</v>
      </c>
      <c r="E472" s="50"/>
    </row>
    <row r="473" spans="1:5" ht="15.6" x14ac:dyDescent="0.3">
      <c r="A473" s="54" t="s">
        <v>30</v>
      </c>
      <c r="B473" s="52" t="s">
        <v>158</v>
      </c>
      <c r="C473" s="53">
        <v>2088.02</v>
      </c>
      <c r="D473" s="47">
        <v>7.7080000000000004E-3</v>
      </c>
      <c r="E473" s="50"/>
    </row>
    <row r="474" spans="1:5" ht="15.6" x14ac:dyDescent="0.3">
      <c r="A474" s="54" t="s">
        <v>5</v>
      </c>
      <c r="B474" s="52" t="s">
        <v>158</v>
      </c>
      <c r="C474" s="53">
        <v>1676.99</v>
      </c>
      <c r="D474" s="47">
        <v>6.1900000000000002E-3</v>
      </c>
      <c r="E474" s="50"/>
    </row>
    <row r="475" spans="1:5" ht="15.6" x14ac:dyDescent="0.3">
      <c r="A475" s="54" t="s">
        <v>130</v>
      </c>
      <c r="B475" s="52" t="s">
        <v>158</v>
      </c>
      <c r="C475" s="53">
        <v>1560.79</v>
      </c>
      <c r="D475" s="47">
        <v>5.7620000000000006E-3</v>
      </c>
      <c r="E475" s="50"/>
    </row>
    <row r="476" spans="1:5" ht="15.6" x14ac:dyDescent="0.3">
      <c r="A476" s="54" t="s">
        <v>40</v>
      </c>
      <c r="B476" s="52" t="s">
        <v>158</v>
      </c>
      <c r="C476" s="53">
        <v>1502.66</v>
      </c>
      <c r="D476" s="47">
        <v>5.5469999999999998E-3</v>
      </c>
      <c r="E476" s="50"/>
    </row>
    <row r="477" spans="1:5" ht="15.6" x14ac:dyDescent="0.3">
      <c r="A477" s="54" t="s">
        <v>9</v>
      </c>
      <c r="B477" s="52" t="s">
        <v>158</v>
      </c>
      <c r="C477" s="53">
        <v>1497.71</v>
      </c>
      <c r="D477" s="47">
        <v>5.5289999999999992E-3</v>
      </c>
      <c r="E477" s="50"/>
    </row>
    <row r="478" spans="1:5" ht="15.6" x14ac:dyDescent="0.3">
      <c r="A478" s="54" t="s">
        <v>38</v>
      </c>
      <c r="B478" s="52" t="s">
        <v>158</v>
      </c>
      <c r="C478" s="53">
        <v>1381.55</v>
      </c>
      <c r="D478" s="47">
        <v>5.1000000000000004E-3</v>
      </c>
      <c r="E478" s="50"/>
    </row>
    <row r="479" spans="1:5" ht="15.6" x14ac:dyDescent="0.3">
      <c r="A479" s="54" t="s">
        <v>32</v>
      </c>
      <c r="B479" s="52" t="s">
        <v>158</v>
      </c>
      <c r="C479" s="53">
        <v>1285.8699999999999</v>
      </c>
      <c r="D479" s="47">
        <v>4.7470000000000004E-3</v>
      </c>
      <c r="E479" s="50"/>
    </row>
    <row r="480" spans="1:5" ht="15.6" x14ac:dyDescent="0.3">
      <c r="A480" s="54" t="s">
        <v>26</v>
      </c>
      <c r="B480" s="52" t="s">
        <v>158</v>
      </c>
      <c r="C480" s="53">
        <v>1202.1600000000001</v>
      </c>
      <c r="D480" s="47">
        <v>4.4380000000000001E-3</v>
      </c>
      <c r="E480" s="50"/>
    </row>
    <row r="481" spans="1:5" ht="15.6" x14ac:dyDescent="0.3">
      <c r="A481" s="54" t="s">
        <v>7</v>
      </c>
      <c r="B481" s="52" t="s">
        <v>158</v>
      </c>
      <c r="C481" s="53">
        <v>1108.28</v>
      </c>
      <c r="D481" s="47">
        <v>4.091E-3</v>
      </c>
      <c r="E481" s="50"/>
    </row>
    <row r="482" spans="1:5" ht="15.6" x14ac:dyDescent="0.3">
      <c r="A482" s="54" t="s">
        <v>19</v>
      </c>
      <c r="B482" s="52" t="s">
        <v>158</v>
      </c>
      <c r="C482" s="53">
        <v>1055.22</v>
      </c>
      <c r="D482" s="47">
        <v>3.895E-3</v>
      </c>
      <c r="E482" s="50"/>
    </row>
    <row r="483" spans="1:5" ht="15.6" x14ac:dyDescent="0.3">
      <c r="A483" s="54" t="s">
        <v>146</v>
      </c>
      <c r="B483" s="52" t="s">
        <v>158</v>
      </c>
      <c r="C483" s="53">
        <v>1040.52</v>
      </c>
      <c r="D483" s="47">
        <v>3.8409999999999998E-3</v>
      </c>
      <c r="E483" s="50"/>
    </row>
    <row r="484" spans="1:5" ht="15.6" x14ac:dyDescent="0.3">
      <c r="A484" s="54" t="s">
        <v>51</v>
      </c>
      <c r="B484" s="52" t="s">
        <v>158</v>
      </c>
      <c r="C484" s="53">
        <v>987.52</v>
      </c>
      <c r="D484" s="47">
        <v>3.6449999999999998E-3</v>
      </c>
      <c r="E484" s="50"/>
    </row>
    <row r="485" spans="1:5" ht="15.6" x14ac:dyDescent="0.3">
      <c r="A485" s="54" t="s">
        <v>45</v>
      </c>
      <c r="B485" s="52" t="s">
        <v>158</v>
      </c>
      <c r="C485" s="53">
        <v>937.72</v>
      </c>
      <c r="D485" s="47">
        <v>3.4620000000000002E-3</v>
      </c>
      <c r="E485" s="50"/>
    </row>
    <row r="486" spans="1:5" ht="15.6" x14ac:dyDescent="0.3">
      <c r="A486" s="54" t="s">
        <v>74</v>
      </c>
      <c r="B486" s="52" t="s">
        <v>158</v>
      </c>
      <c r="C486" s="53">
        <v>909.21</v>
      </c>
      <c r="D486" s="47">
        <v>3.356E-3</v>
      </c>
      <c r="E486" s="50"/>
    </row>
    <row r="487" spans="1:5" ht="15.6" x14ac:dyDescent="0.3">
      <c r="A487" s="54" t="s">
        <v>43</v>
      </c>
      <c r="B487" s="52" t="s">
        <v>158</v>
      </c>
      <c r="C487" s="53">
        <v>808.07</v>
      </c>
      <c r="D487" s="47">
        <v>2.983E-3</v>
      </c>
      <c r="E487" s="50"/>
    </row>
    <row r="488" spans="1:5" ht="15.6" x14ac:dyDescent="0.3">
      <c r="A488" s="54" t="s">
        <v>42</v>
      </c>
      <c r="B488" s="52" t="s">
        <v>158</v>
      </c>
      <c r="C488" s="53">
        <v>793</v>
      </c>
      <c r="D488" s="47">
        <v>2.9270000000000003E-3</v>
      </c>
      <c r="E488" s="50"/>
    </row>
    <row r="489" spans="1:5" ht="15.6" x14ac:dyDescent="0.3">
      <c r="A489" s="54" t="s">
        <v>25</v>
      </c>
      <c r="B489" s="52" t="s">
        <v>158</v>
      </c>
      <c r="C489" s="53">
        <v>528.67999999999995</v>
      </c>
      <c r="D489" s="47">
        <v>1.9520000000000002E-3</v>
      </c>
      <c r="E489" s="50"/>
    </row>
    <row r="490" spans="1:5" ht="15.6" x14ac:dyDescent="0.3">
      <c r="A490" s="54" t="s">
        <v>90</v>
      </c>
      <c r="B490" s="52" t="s">
        <v>158</v>
      </c>
      <c r="C490" s="53">
        <v>514.37</v>
      </c>
      <c r="D490" s="47">
        <v>1.8990000000000001E-3</v>
      </c>
      <c r="E490" s="50"/>
    </row>
    <row r="491" spans="1:5" ht="15.6" x14ac:dyDescent="0.3">
      <c r="A491" s="54" t="s">
        <v>37</v>
      </c>
      <c r="B491" s="52" t="s">
        <v>158</v>
      </c>
      <c r="C491" s="53">
        <v>490.94</v>
      </c>
      <c r="D491" s="47">
        <v>1.812E-3</v>
      </c>
      <c r="E491" s="50"/>
    </row>
    <row r="492" spans="1:5" ht="15.6" x14ac:dyDescent="0.3">
      <c r="A492" s="54" t="s">
        <v>24</v>
      </c>
      <c r="B492" s="52" t="s">
        <v>158</v>
      </c>
      <c r="C492" s="53">
        <v>439.56</v>
      </c>
      <c r="D492" s="47">
        <v>1.6230000000000001E-3</v>
      </c>
      <c r="E492" s="50"/>
    </row>
    <row r="493" spans="1:5" ht="15.6" x14ac:dyDescent="0.3">
      <c r="A493" s="54" t="s">
        <v>46</v>
      </c>
      <c r="B493" s="52" t="s">
        <v>158</v>
      </c>
      <c r="C493" s="53">
        <v>430.81</v>
      </c>
      <c r="D493" s="47">
        <v>1.5900000000000001E-3</v>
      </c>
      <c r="E493" s="50"/>
    </row>
    <row r="494" spans="1:5" ht="15.6" x14ac:dyDescent="0.3">
      <c r="A494" s="54" t="s">
        <v>41</v>
      </c>
      <c r="B494" s="52" t="s">
        <v>158</v>
      </c>
      <c r="C494" s="53">
        <v>416.5</v>
      </c>
      <c r="D494" s="47">
        <v>1.537E-3</v>
      </c>
      <c r="E494" s="50"/>
    </row>
    <row r="495" spans="1:5" ht="15.6" x14ac:dyDescent="0.3">
      <c r="A495" s="54" t="s">
        <v>27</v>
      </c>
      <c r="B495" s="52" t="s">
        <v>158</v>
      </c>
      <c r="C495" s="53">
        <v>406.95</v>
      </c>
      <c r="D495" s="47">
        <v>1.5020000000000001E-3</v>
      </c>
      <c r="E495" s="50"/>
    </row>
    <row r="496" spans="1:5" ht="15.6" x14ac:dyDescent="0.3">
      <c r="A496" s="54" t="s">
        <v>145</v>
      </c>
      <c r="B496" s="52" t="s">
        <v>158</v>
      </c>
      <c r="C496" s="53">
        <v>314.02</v>
      </c>
      <c r="D496" s="47">
        <v>1.1590000000000001E-3</v>
      </c>
      <c r="E496" s="50"/>
    </row>
    <row r="497" spans="1:5" ht="15.6" x14ac:dyDescent="0.3">
      <c r="A497" s="54" t="s">
        <v>55</v>
      </c>
      <c r="B497" s="52" t="s">
        <v>158</v>
      </c>
      <c r="C497" s="53">
        <v>303.2</v>
      </c>
      <c r="D497" s="47">
        <v>1.119E-3</v>
      </c>
      <c r="E497" s="50"/>
    </row>
    <row r="498" spans="1:5" ht="15.6" x14ac:dyDescent="0.3">
      <c r="A498" s="54" t="s">
        <v>39</v>
      </c>
      <c r="B498" s="52" t="s">
        <v>158</v>
      </c>
      <c r="C498" s="53">
        <v>248.29</v>
      </c>
      <c r="D498" s="47">
        <v>9.1700000000000006E-4</v>
      </c>
      <c r="E498" s="50"/>
    </row>
    <row r="499" spans="1:5" ht="15.6" x14ac:dyDescent="0.3">
      <c r="A499" s="54" t="s">
        <v>54</v>
      </c>
      <c r="B499" s="52" t="s">
        <v>158</v>
      </c>
      <c r="C499" s="53">
        <v>246.15</v>
      </c>
      <c r="D499" s="47">
        <v>9.0899999999999998E-4</v>
      </c>
      <c r="E499" s="50"/>
    </row>
    <row r="500" spans="1:5" ht="15.6" x14ac:dyDescent="0.3">
      <c r="A500" s="54" t="s">
        <v>47</v>
      </c>
      <c r="B500" s="52" t="s">
        <v>158</v>
      </c>
      <c r="C500" s="53">
        <v>245.45</v>
      </c>
      <c r="D500" s="47">
        <v>9.0600000000000001E-4</v>
      </c>
      <c r="E500" s="50"/>
    </row>
    <row r="501" spans="1:5" ht="15.6" x14ac:dyDescent="0.3">
      <c r="A501" s="54" t="s">
        <v>64</v>
      </c>
      <c r="B501" s="52" t="s">
        <v>158</v>
      </c>
      <c r="C501" s="53">
        <v>176.88</v>
      </c>
      <c r="D501" s="47">
        <v>6.5299999999999993E-4</v>
      </c>
      <c r="E501" s="50"/>
    </row>
    <row r="502" spans="1:5" ht="15.6" x14ac:dyDescent="0.3">
      <c r="A502" s="54" t="s">
        <v>58</v>
      </c>
      <c r="B502" s="52" t="s">
        <v>158</v>
      </c>
      <c r="C502" s="53">
        <v>168.58</v>
      </c>
      <c r="D502" s="47">
        <v>6.2199999999999994E-4</v>
      </c>
      <c r="E502" s="50"/>
    </row>
    <row r="503" spans="1:5" ht="15.6" x14ac:dyDescent="0.3">
      <c r="A503" s="54" t="s">
        <v>28</v>
      </c>
      <c r="B503" s="52" t="s">
        <v>158</v>
      </c>
      <c r="C503" s="53">
        <v>149.9</v>
      </c>
      <c r="D503" s="47">
        <v>5.53E-4</v>
      </c>
      <c r="E503" s="50"/>
    </row>
    <row r="504" spans="1:5" ht="15.6" x14ac:dyDescent="0.3">
      <c r="A504" s="54" t="s">
        <v>31</v>
      </c>
      <c r="B504" s="52" t="s">
        <v>158</v>
      </c>
      <c r="C504" s="53">
        <v>120</v>
      </c>
      <c r="D504" s="47">
        <v>4.4299999999999998E-4</v>
      </c>
      <c r="E504" s="50"/>
    </row>
    <row r="505" spans="1:5" ht="15.6" x14ac:dyDescent="0.3">
      <c r="A505" s="54" t="s">
        <v>53</v>
      </c>
      <c r="B505" s="52" t="s">
        <v>158</v>
      </c>
      <c r="C505" s="53">
        <v>119.22</v>
      </c>
      <c r="D505" s="47">
        <v>4.3999999999999996E-4</v>
      </c>
      <c r="E505" s="50"/>
    </row>
    <row r="506" spans="1:5" ht="15.6" x14ac:dyDescent="0.3">
      <c r="A506" s="54" t="s">
        <v>37</v>
      </c>
      <c r="B506" s="52" t="s">
        <v>158</v>
      </c>
      <c r="C506" s="53">
        <v>111.84</v>
      </c>
      <c r="D506" s="47">
        <v>4.1300000000000001E-4</v>
      </c>
      <c r="E506" s="50"/>
    </row>
    <row r="507" spans="1:5" ht="15.6" x14ac:dyDescent="0.3">
      <c r="A507" s="54" t="s">
        <v>79</v>
      </c>
      <c r="B507" s="52" t="s">
        <v>158</v>
      </c>
      <c r="C507" s="53">
        <v>110.1</v>
      </c>
      <c r="D507" s="47">
        <v>4.0599999999999995E-4</v>
      </c>
      <c r="E507" s="50"/>
    </row>
    <row r="508" spans="1:5" ht="15.6" x14ac:dyDescent="0.3">
      <c r="A508" s="54" t="s">
        <v>75</v>
      </c>
      <c r="B508" s="52" t="s">
        <v>158</v>
      </c>
      <c r="C508" s="53">
        <v>95.1</v>
      </c>
      <c r="D508" s="47">
        <v>3.5099999999999997E-4</v>
      </c>
      <c r="E508" s="50"/>
    </row>
    <row r="509" spans="1:5" ht="15.6" x14ac:dyDescent="0.3">
      <c r="A509" s="54" t="s">
        <v>88</v>
      </c>
      <c r="B509" s="52" t="s">
        <v>158</v>
      </c>
      <c r="C509" s="53">
        <v>88.78</v>
      </c>
      <c r="D509" s="47">
        <v>3.28E-4</v>
      </c>
      <c r="E509" s="50"/>
    </row>
    <row r="510" spans="1:5" ht="15.6" x14ac:dyDescent="0.3">
      <c r="A510" s="54" t="s">
        <v>50</v>
      </c>
      <c r="B510" s="52" t="s">
        <v>158</v>
      </c>
      <c r="C510" s="53">
        <v>79.959999999999994</v>
      </c>
      <c r="D510" s="47">
        <v>2.9499999999999996E-4</v>
      </c>
      <c r="E510" s="50"/>
    </row>
    <row r="511" spans="1:5" ht="15.6" x14ac:dyDescent="0.3">
      <c r="A511" s="54" t="s">
        <v>61</v>
      </c>
      <c r="B511" s="52" t="s">
        <v>158</v>
      </c>
      <c r="C511" s="53">
        <v>65.16</v>
      </c>
      <c r="D511" s="47">
        <v>2.41E-4</v>
      </c>
      <c r="E511" s="50"/>
    </row>
    <row r="512" spans="1:5" ht="15.6" x14ac:dyDescent="0.3">
      <c r="A512" s="54" t="s">
        <v>49</v>
      </c>
      <c r="B512" s="52" t="s">
        <v>158</v>
      </c>
      <c r="C512" s="53">
        <v>58.04</v>
      </c>
      <c r="D512" s="47">
        <v>2.14E-4</v>
      </c>
      <c r="E512" s="50"/>
    </row>
    <row r="513" spans="1:5" ht="15.6" x14ac:dyDescent="0.3">
      <c r="A513" s="54" t="s">
        <v>23</v>
      </c>
      <c r="B513" s="52" t="s">
        <v>158</v>
      </c>
      <c r="C513" s="53">
        <v>49.08</v>
      </c>
      <c r="D513" s="47">
        <v>1.8100000000000001E-4</v>
      </c>
      <c r="E513" s="50"/>
    </row>
    <row r="514" spans="1:5" ht="15.6" x14ac:dyDescent="0.3">
      <c r="A514" s="54" t="s">
        <v>33</v>
      </c>
      <c r="B514" s="52" t="s">
        <v>158</v>
      </c>
      <c r="C514" s="53">
        <v>41.88</v>
      </c>
      <c r="D514" s="47">
        <v>1.55E-4</v>
      </c>
      <c r="E514" s="50"/>
    </row>
    <row r="515" spans="1:5" ht="15.6" x14ac:dyDescent="0.3">
      <c r="A515" s="54" t="s">
        <v>22</v>
      </c>
      <c r="B515" s="52" t="s">
        <v>158</v>
      </c>
      <c r="C515" s="53">
        <v>39.69</v>
      </c>
      <c r="D515" s="47">
        <v>1.47E-4</v>
      </c>
      <c r="E515" s="50"/>
    </row>
    <row r="516" spans="1:5" ht="15.6" x14ac:dyDescent="0.3">
      <c r="A516" s="54" t="s">
        <v>44</v>
      </c>
      <c r="B516" s="52" t="s">
        <v>158</v>
      </c>
      <c r="C516" s="53">
        <v>26.45</v>
      </c>
      <c r="D516" s="47">
        <v>9.7999999999999997E-5</v>
      </c>
      <c r="E516" s="50"/>
    </row>
    <row r="517" spans="1:5" ht="15.6" x14ac:dyDescent="0.3">
      <c r="A517" s="54" t="s">
        <v>56</v>
      </c>
      <c r="B517" s="52" t="s">
        <v>158</v>
      </c>
      <c r="C517" s="53">
        <v>22.58</v>
      </c>
      <c r="D517" s="47">
        <v>8.2999999999999998E-5</v>
      </c>
      <c r="E517" s="50"/>
    </row>
    <row r="518" spans="1:5" ht="15.6" x14ac:dyDescent="0.3">
      <c r="A518" s="54" t="s">
        <v>83</v>
      </c>
      <c r="B518" s="52" t="s">
        <v>158</v>
      </c>
      <c r="C518" s="53">
        <v>7.3</v>
      </c>
      <c r="D518" s="47">
        <v>2.7000000000000002E-5</v>
      </c>
      <c r="E518" s="50"/>
    </row>
    <row r="519" spans="1:5" ht="15.6" x14ac:dyDescent="0.3">
      <c r="A519" s="45" t="s">
        <v>1</v>
      </c>
      <c r="B519" s="14" t="s">
        <v>110</v>
      </c>
      <c r="C519" s="15">
        <v>155576.15</v>
      </c>
      <c r="D519" s="47">
        <v>0.18258199999999999</v>
      </c>
      <c r="E519" s="50"/>
    </row>
    <row r="520" spans="1:5" ht="15.6" x14ac:dyDescent="0.3">
      <c r="A520" s="45" t="s">
        <v>8</v>
      </c>
      <c r="B520" s="14" t="s">
        <v>110</v>
      </c>
      <c r="C520" s="15">
        <v>70330.23</v>
      </c>
      <c r="D520" s="47">
        <v>8.2538E-2</v>
      </c>
      <c r="E520" s="50"/>
    </row>
    <row r="521" spans="1:5" ht="15.6" x14ac:dyDescent="0.3">
      <c r="A521" s="45" t="s">
        <v>2</v>
      </c>
      <c r="B521" s="14" t="s">
        <v>110</v>
      </c>
      <c r="C521" s="15">
        <v>67517.88</v>
      </c>
      <c r="D521" s="47">
        <v>7.9238000000000003E-2</v>
      </c>
      <c r="E521" s="50"/>
    </row>
    <row r="522" spans="1:5" ht="15.6" x14ac:dyDescent="0.3">
      <c r="A522" s="45" t="s">
        <v>0</v>
      </c>
      <c r="B522" s="14" t="s">
        <v>110</v>
      </c>
      <c r="C522" s="15">
        <v>60268.31</v>
      </c>
      <c r="D522" s="47">
        <v>7.0730000000000001E-2</v>
      </c>
      <c r="E522" s="50"/>
    </row>
    <row r="523" spans="1:5" ht="15.6" x14ac:dyDescent="0.3">
      <c r="A523" s="45" t="s">
        <v>4</v>
      </c>
      <c r="B523" s="14" t="s">
        <v>110</v>
      </c>
      <c r="C523" s="15">
        <v>54532.7</v>
      </c>
      <c r="D523" s="47">
        <v>6.3999E-2</v>
      </c>
      <c r="E523" s="50"/>
    </row>
    <row r="524" spans="1:5" ht="15.6" x14ac:dyDescent="0.3">
      <c r="A524" s="45" t="s">
        <v>9</v>
      </c>
      <c r="B524" s="14" t="s">
        <v>110</v>
      </c>
      <c r="C524" s="15">
        <v>47699.02</v>
      </c>
      <c r="D524" s="47">
        <v>5.5979000000000001E-2</v>
      </c>
      <c r="E524" s="50"/>
    </row>
    <row r="525" spans="1:5" ht="15.6" x14ac:dyDescent="0.3">
      <c r="A525" s="45" t="s">
        <v>7</v>
      </c>
      <c r="B525" s="14" t="s">
        <v>110</v>
      </c>
      <c r="C525" s="15">
        <v>44203.11</v>
      </c>
      <c r="D525" s="47">
        <v>5.1875999999999999E-2</v>
      </c>
      <c r="E525" s="50"/>
    </row>
    <row r="526" spans="1:5" ht="15.6" x14ac:dyDescent="0.3">
      <c r="A526" s="45" t="s">
        <v>16</v>
      </c>
      <c r="B526" s="14" t="s">
        <v>110</v>
      </c>
      <c r="C526" s="15">
        <v>39431.89</v>
      </c>
      <c r="D526" s="47">
        <v>4.6276999999999999E-2</v>
      </c>
      <c r="E526" s="50"/>
    </row>
    <row r="527" spans="1:5" ht="15.6" x14ac:dyDescent="0.3">
      <c r="A527" s="45" t="s">
        <v>13</v>
      </c>
      <c r="B527" s="14" t="s">
        <v>110</v>
      </c>
      <c r="C527" s="15">
        <v>36905.93</v>
      </c>
      <c r="D527" s="47">
        <v>4.3311999999999996E-2</v>
      </c>
      <c r="E527" s="50"/>
    </row>
    <row r="528" spans="1:5" ht="15.6" x14ac:dyDescent="0.3">
      <c r="A528" s="45" t="s">
        <v>3</v>
      </c>
      <c r="B528" s="14" t="s">
        <v>110</v>
      </c>
      <c r="C528" s="15">
        <v>32687.05</v>
      </c>
      <c r="D528" s="47">
        <v>3.8360999999999999E-2</v>
      </c>
      <c r="E528" s="50"/>
    </row>
    <row r="529" spans="1:5" ht="15.6" x14ac:dyDescent="0.3">
      <c r="A529" s="45" t="s">
        <v>20</v>
      </c>
      <c r="B529" s="14" t="s">
        <v>110</v>
      </c>
      <c r="C529" s="15">
        <v>30125.67</v>
      </c>
      <c r="D529" s="47">
        <v>3.5354999999999998E-2</v>
      </c>
      <c r="E529" s="50"/>
    </row>
    <row r="530" spans="1:5" ht="15.6" x14ac:dyDescent="0.3">
      <c r="A530" s="45" t="s">
        <v>6</v>
      </c>
      <c r="B530" s="14" t="s">
        <v>110</v>
      </c>
      <c r="C530" s="15">
        <v>29290.04</v>
      </c>
      <c r="D530" s="47">
        <v>3.4373999999999995E-2</v>
      </c>
      <c r="E530" s="50"/>
    </row>
    <row r="531" spans="1:5" ht="15.6" x14ac:dyDescent="0.3">
      <c r="A531" s="45" t="s">
        <v>12</v>
      </c>
      <c r="B531" s="14" t="s">
        <v>110</v>
      </c>
      <c r="C531" s="15">
        <v>27973.74</v>
      </c>
      <c r="D531" s="47">
        <v>3.2829999999999998E-2</v>
      </c>
      <c r="E531" s="50"/>
    </row>
    <row r="532" spans="1:5" ht="15.6" x14ac:dyDescent="0.3">
      <c r="A532" s="45" t="s">
        <v>146</v>
      </c>
      <c r="B532" s="14" t="s">
        <v>110</v>
      </c>
      <c r="C532" s="15">
        <v>22320.41</v>
      </c>
      <c r="D532" s="47">
        <v>2.6195E-2</v>
      </c>
      <c r="E532" s="50"/>
    </row>
    <row r="533" spans="1:5" ht="15.6" x14ac:dyDescent="0.3">
      <c r="A533" s="45" t="s">
        <v>11</v>
      </c>
      <c r="B533" s="14" t="s">
        <v>110</v>
      </c>
      <c r="C533" s="15">
        <v>17058.79</v>
      </c>
      <c r="D533" s="47">
        <v>2.0019999999999996E-2</v>
      </c>
      <c r="E533" s="50"/>
    </row>
    <row r="534" spans="1:5" ht="15.6" x14ac:dyDescent="0.3">
      <c r="A534" s="45" t="s">
        <v>10</v>
      </c>
      <c r="B534" s="14" t="s">
        <v>110</v>
      </c>
      <c r="C534" s="15">
        <v>14200.7</v>
      </c>
      <c r="D534" s="47">
        <v>1.6666E-2</v>
      </c>
      <c r="E534" s="50"/>
    </row>
    <row r="535" spans="1:5" ht="15.6" x14ac:dyDescent="0.3">
      <c r="A535" s="45" t="s">
        <v>15</v>
      </c>
      <c r="B535" s="14" t="s">
        <v>110</v>
      </c>
      <c r="C535" s="15">
        <v>12757.41</v>
      </c>
      <c r="D535" s="47">
        <v>1.4972000000000001E-2</v>
      </c>
      <c r="E535" s="50"/>
    </row>
    <row r="536" spans="1:5" ht="15.6" x14ac:dyDescent="0.3">
      <c r="A536" s="45" t="s">
        <v>14</v>
      </c>
      <c r="B536" s="14" t="s">
        <v>110</v>
      </c>
      <c r="C536" s="15">
        <v>9683.2800000000007</v>
      </c>
      <c r="D536" s="47">
        <v>1.1364000000000001E-2</v>
      </c>
      <c r="E536" s="50"/>
    </row>
    <row r="537" spans="1:5" ht="15.6" x14ac:dyDescent="0.3">
      <c r="A537" s="45" t="s">
        <v>159</v>
      </c>
      <c r="B537" s="14" t="s">
        <v>110</v>
      </c>
      <c r="C537" s="15">
        <v>9133.2999999999993</v>
      </c>
      <c r="D537" s="47">
        <v>1.0719000000000001E-2</v>
      </c>
      <c r="E537" s="50"/>
    </row>
    <row r="538" spans="1:5" ht="15.6" x14ac:dyDescent="0.3">
      <c r="A538" s="45" t="s">
        <v>5</v>
      </c>
      <c r="B538" s="14" t="s">
        <v>110</v>
      </c>
      <c r="C538" s="15">
        <v>8282.86</v>
      </c>
      <c r="D538" s="47">
        <v>9.7210000000000005E-3</v>
      </c>
      <c r="E538" s="50"/>
    </row>
    <row r="539" spans="1:5" ht="15.6" x14ac:dyDescent="0.3">
      <c r="A539" s="45" t="s">
        <v>21</v>
      </c>
      <c r="B539" s="14" t="s">
        <v>110</v>
      </c>
      <c r="C539" s="15">
        <v>5261.99</v>
      </c>
      <c r="D539" s="47">
        <v>6.1750000000000008E-3</v>
      </c>
      <c r="E539" s="50"/>
    </row>
    <row r="540" spans="1:5" ht="15.6" x14ac:dyDescent="0.3">
      <c r="A540" s="45" t="s">
        <v>24</v>
      </c>
      <c r="B540" s="14" t="s">
        <v>110</v>
      </c>
      <c r="C540" s="15">
        <v>4907.46</v>
      </c>
      <c r="D540" s="47">
        <v>5.7589999999999994E-3</v>
      </c>
      <c r="E540" s="50"/>
    </row>
    <row r="541" spans="1:5" ht="15.6" x14ac:dyDescent="0.3">
      <c r="A541" s="45" t="s">
        <v>42</v>
      </c>
      <c r="B541" s="14" t="s">
        <v>110</v>
      </c>
      <c r="C541" s="15">
        <v>4628.84</v>
      </c>
      <c r="D541" s="47">
        <v>5.4320000000000002E-3</v>
      </c>
      <c r="E541" s="50"/>
    </row>
    <row r="542" spans="1:5" ht="15.6" x14ac:dyDescent="0.3">
      <c r="A542" s="45" t="s">
        <v>29</v>
      </c>
      <c r="B542" s="14" t="s">
        <v>110</v>
      </c>
      <c r="C542" s="15">
        <v>4460.8999999999996</v>
      </c>
      <c r="D542" s="47">
        <v>5.2350000000000001E-3</v>
      </c>
      <c r="E542" s="50"/>
    </row>
    <row r="543" spans="1:5" ht="15.6" x14ac:dyDescent="0.3">
      <c r="A543" s="45" t="s">
        <v>17</v>
      </c>
      <c r="B543" s="14" t="s">
        <v>110</v>
      </c>
      <c r="C543" s="15">
        <v>3685.47</v>
      </c>
      <c r="D543" s="47">
        <v>4.3249999999999999E-3</v>
      </c>
      <c r="E543" s="50"/>
    </row>
    <row r="544" spans="1:5" ht="15.6" x14ac:dyDescent="0.3">
      <c r="A544" s="45" t="s">
        <v>19</v>
      </c>
      <c r="B544" s="14" t="s">
        <v>110</v>
      </c>
      <c r="C544" s="15">
        <v>3463.32</v>
      </c>
      <c r="D544" s="47">
        <v>4.0639999999999999E-3</v>
      </c>
      <c r="E544" s="50"/>
    </row>
    <row r="545" spans="1:5" ht="15.6" x14ac:dyDescent="0.3">
      <c r="A545" s="45" t="s">
        <v>160</v>
      </c>
      <c r="B545" s="14" t="s">
        <v>110</v>
      </c>
      <c r="C545" s="15">
        <v>3259.37</v>
      </c>
      <c r="D545" s="47">
        <v>3.8250000000000003E-3</v>
      </c>
      <c r="E545" s="50"/>
    </row>
    <row r="546" spans="1:5" ht="15.6" x14ac:dyDescent="0.3">
      <c r="A546" s="45" t="s">
        <v>26</v>
      </c>
      <c r="B546" s="14" t="s">
        <v>110</v>
      </c>
      <c r="C546" s="15">
        <v>3102.8</v>
      </c>
      <c r="D546" s="47">
        <v>3.6409999999999997E-3</v>
      </c>
      <c r="E546" s="50"/>
    </row>
    <row r="547" spans="1:5" ht="15.6" x14ac:dyDescent="0.3">
      <c r="A547" s="45" t="s">
        <v>25</v>
      </c>
      <c r="B547" s="14" t="s">
        <v>110</v>
      </c>
      <c r="C547" s="15">
        <v>2976.46</v>
      </c>
      <c r="D547" s="47">
        <v>3.493E-3</v>
      </c>
      <c r="E547" s="50"/>
    </row>
    <row r="548" spans="1:5" ht="15.6" x14ac:dyDescent="0.3">
      <c r="A548" s="45" t="s">
        <v>27</v>
      </c>
      <c r="B548" s="14" t="s">
        <v>110</v>
      </c>
      <c r="C548" s="15">
        <v>2919.85</v>
      </c>
      <c r="D548" s="47">
        <v>3.4269999999999999E-3</v>
      </c>
      <c r="E548" s="50"/>
    </row>
    <row r="549" spans="1:5" ht="15.6" x14ac:dyDescent="0.3">
      <c r="A549" s="45" t="s">
        <v>45</v>
      </c>
      <c r="B549" s="14" t="s">
        <v>110</v>
      </c>
      <c r="C549" s="15">
        <v>2589.4</v>
      </c>
      <c r="D549" s="47">
        <v>3.039E-3</v>
      </c>
      <c r="E549" s="50"/>
    </row>
    <row r="550" spans="1:5" ht="15.6" x14ac:dyDescent="0.3">
      <c r="A550" s="45" t="s">
        <v>130</v>
      </c>
      <c r="B550" s="14" t="s">
        <v>110</v>
      </c>
      <c r="C550" s="15">
        <v>1810.08</v>
      </c>
      <c r="D550" s="47">
        <v>2.124E-3</v>
      </c>
      <c r="E550" s="50"/>
    </row>
    <row r="551" spans="1:5" ht="15.6" x14ac:dyDescent="0.3">
      <c r="A551" s="45" t="s">
        <v>74</v>
      </c>
      <c r="B551" s="14" t="s">
        <v>110</v>
      </c>
      <c r="C551" s="15">
        <v>1690.37</v>
      </c>
      <c r="D551" s="47">
        <v>1.9840000000000001E-3</v>
      </c>
      <c r="E551" s="50"/>
    </row>
    <row r="552" spans="1:5" ht="15.6" x14ac:dyDescent="0.3">
      <c r="A552" s="45" t="s">
        <v>38</v>
      </c>
      <c r="B552" s="14" t="s">
        <v>110</v>
      </c>
      <c r="C552" s="15">
        <v>1627.87</v>
      </c>
      <c r="D552" s="47">
        <v>1.91E-3</v>
      </c>
      <c r="E552" s="50"/>
    </row>
    <row r="553" spans="1:5" ht="15.6" x14ac:dyDescent="0.3">
      <c r="A553" s="45" t="s">
        <v>47</v>
      </c>
      <c r="B553" s="14" t="s">
        <v>110</v>
      </c>
      <c r="C553" s="15">
        <v>1581.04</v>
      </c>
      <c r="D553" s="47">
        <v>1.8549999999999999E-3</v>
      </c>
      <c r="E553" s="50"/>
    </row>
    <row r="554" spans="1:5" ht="15.6" x14ac:dyDescent="0.3">
      <c r="A554" s="45" t="s">
        <v>32</v>
      </c>
      <c r="B554" s="14" t="s">
        <v>110</v>
      </c>
      <c r="C554" s="15">
        <v>1129.3</v>
      </c>
      <c r="D554" s="47">
        <v>1.325E-3</v>
      </c>
      <c r="E554" s="50"/>
    </row>
    <row r="555" spans="1:5" ht="15.6" x14ac:dyDescent="0.3">
      <c r="A555" s="45" t="s">
        <v>40</v>
      </c>
      <c r="B555" s="14" t="s">
        <v>110</v>
      </c>
      <c r="C555" s="15">
        <v>1117.45</v>
      </c>
      <c r="D555" s="47">
        <v>1.3109999999999999E-3</v>
      </c>
      <c r="E555" s="50"/>
    </row>
    <row r="556" spans="1:5" ht="15.6" x14ac:dyDescent="0.3">
      <c r="A556" s="45" t="s">
        <v>64</v>
      </c>
      <c r="B556" s="14" t="s">
        <v>110</v>
      </c>
      <c r="C556" s="15">
        <v>1111.5</v>
      </c>
      <c r="D556" s="47">
        <v>1.3039999999999998E-3</v>
      </c>
      <c r="E556" s="50"/>
    </row>
    <row r="557" spans="1:5" ht="15.6" x14ac:dyDescent="0.3">
      <c r="A557" s="45" t="s">
        <v>30</v>
      </c>
      <c r="B557" s="14" t="s">
        <v>110</v>
      </c>
      <c r="C557" s="15">
        <v>984.26</v>
      </c>
      <c r="D557" s="47">
        <v>1.155E-3</v>
      </c>
      <c r="E557" s="50"/>
    </row>
    <row r="558" spans="1:5" ht="15.6" x14ac:dyDescent="0.3">
      <c r="A558" s="45" t="s">
        <v>67</v>
      </c>
      <c r="B558" s="14" t="s">
        <v>110</v>
      </c>
      <c r="C558" s="15">
        <v>948.1</v>
      </c>
      <c r="D558" s="47">
        <v>1.1130000000000001E-3</v>
      </c>
      <c r="E558" s="50"/>
    </row>
    <row r="559" spans="1:5" ht="15.6" x14ac:dyDescent="0.3">
      <c r="A559" s="45" t="s">
        <v>62</v>
      </c>
      <c r="B559" s="14" t="s">
        <v>110</v>
      </c>
      <c r="C559" s="15">
        <v>693.2</v>
      </c>
      <c r="D559" s="47">
        <v>8.1400000000000005E-4</v>
      </c>
      <c r="E559" s="50"/>
    </row>
    <row r="560" spans="1:5" ht="15.6" x14ac:dyDescent="0.3">
      <c r="A560" s="45" t="s">
        <v>37</v>
      </c>
      <c r="B560" s="14" t="s">
        <v>110</v>
      </c>
      <c r="C560" s="15">
        <v>679.52</v>
      </c>
      <c r="D560" s="47">
        <v>7.9699999999999997E-4</v>
      </c>
      <c r="E560" s="50"/>
    </row>
    <row r="561" spans="1:5" ht="15.6" x14ac:dyDescent="0.3">
      <c r="A561" s="45" t="s">
        <v>55</v>
      </c>
      <c r="B561" s="14" t="s">
        <v>110</v>
      </c>
      <c r="C561" s="15">
        <v>676.7</v>
      </c>
      <c r="D561" s="47">
        <v>7.94E-4</v>
      </c>
      <c r="E561" s="50"/>
    </row>
    <row r="562" spans="1:5" ht="15.6" x14ac:dyDescent="0.3">
      <c r="A562" s="45" t="s">
        <v>43</v>
      </c>
      <c r="B562" s="14" t="s">
        <v>110</v>
      </c>
      <c r="C562" s="15">
        <v>592.65</v>
      </c>
      <c r="D562" s="47">
        <v>6.96E-4</v>
      </c>
      <c r="E562" s="50"/>
    </row>
    <row r="563" spans="1:5" ht="15.6" x14ac:dyDescent="0.3">
      <c r="A563" s="45" t="s">
        <v>54</v>
      </c>
      <c r="B563" s="14" t="s">
        <v>110</v>
      </c>
      <c r="C563" s="15">
        <v>576.13</v>
      </c>
      <c r="D563" s="47">
        <v>6.7599999999999995E-4</v>
      </c>
      <c r="E563" s="50"/>
    </row>
    <row r="564" spans="1:5" ht="15.6" x14ac:dyDescent="0.3">
      <c r="A564" s="45" t="s">
        <v>50</v>
      </c>
      <c r="B564" s="14" t="s">
        <v>110</v>
      </c>
      <c r="C564" s="15">
        <v>551.08000000000004</v>
      </c>
      <c r="D564" s="47">
        <v>6.469999999999999E-4</v>
      </c>
      <c r="E564" s="50"/>
    </row>
    <row r="565" spans="1:5" ht="15.6" x14ac:dyDescent="0.3">
      <c r="A565" s="45" t="s">
        <v>46</v>
      </c>
      <c r="B565" s="14" t="s">
        <v>110</v>
      </c>
      <c r="C565" s="15">
        <v>540.45000000000005</v>
      </c>
      <c r="D565" s="47">
        <v>6.3400000000000001E-4</v>
      </c>
      <c r="E565" s="50"/>
    </row>
    <row r="566" spans="1:5" ht="15.6" x14ac:dyDescent="0.3">
      <c r="A566" s="45" t="s">
        <v>41</v>
      </c>
      <c r="B566" s="14" t="s">
        <v>110</v>
      </c>
      <c r="C566" s="15">
        <v>478.94</v>
      </c>
      <c r="D566" s="47">
        <v>5.62E-4</v>
      </c>
      <c r="E566" s="50"/>
    </row>
    <row r="567" spans="1:5" ht="15.6" x14ac:dyDescent="0.3">
      <c r="A567" s="45" t="s">
        <v>76</v>
      </c>
      <c r="B567" s="14" t="s">
        <v>110</v>
      </c>
      <c r="C567" s="15">
        <v>361.95</v>
      </c>
      <c r="D567" s="47">
        <v>4.2500000000000003E-4</v>
      </c>
      <c r="E567" s="50"/>
    </row>
    <row r="568" spans="1:5" ht="15.6" x14ac:dyDescent="0.3">
      <c r="A568" s="45" t="s">
        <v>28</v>
      </c>
      <c r="B568" s="14" t="s">
        <v>110</v>
      </c>
      <c r="C568" s="15">
        <v>352.48</v>
      </c>
      <c r="D568" s="47">
        <v>4.1399999999999998E-4</v>
      </c>
      <c r="E568" s="50"/>
    </row>
    <row r="569" spans="1:5" ht="15.6" x14ac:dyDescent="0.3">
      <c r="A569" s="45" t="s">
        <v>35</v>
      </c>
      <c r="B569" s="14" t="s">
        <v>110</v>
      </c>
      <c r="C569" s="15">
        <v>297.92</v>
      </c>
      <c r="D569" s="47">
        <v>3.5000000000000005E-4</v>
      </c>
      <c r="E569" s="50"/>
    </row>
    <row r="570" spans="1:5" ht="15.6" x14ac:dyDescent="0.3">
      <c r="A570" s="45" t="s">
        <v>56</v>
      </c>
      <c r="B570" s="14" t="s">
        <v>110</v>
      </c>
      <c r="C570" s="15">
        <v>294.94</v>
      </c>
      <c r="D570" s="47">
        <v>3.4600000000000001E-4</v>
      </c>
      <c r="E570" s="50"/>
    </row>
    <row r="571" spans="1:5" ht="15.6" x14ac:dyDescent="0.3">
      <c r="A571" s="45" t="s">
        <v>33</v>
      </c>
      <c r="B571" s="14" t="s">
        <v>110</v>
      </c>
      <c r="C571" s="15">
        <v>290.04000000000002</v>
      </c>
      <c r="D571" s="47">
        <v>3.4000000000000002E-4</v>
      </c>
      <c r="E571" s="50"/>
    </row>
    <row r="572" spans="1:5" ht="15.6" x14ac:dyDescent="0.3">
      <c r="A572" s="45" t="s">
        <v>90</v>
      </c>
      <c r="B572" s="14" t="s">
        <v>110</v>
      </c>
      <c r="C572" s="15">
        <v>272.85000000000002</v>
      </c>
      <c r="D572" s="47">
        <v>3.2000000000000003E-4</v>
      </c>
      <c r="E572" s="50"/>
    </row>
    <row r="573" spans="1:5" ht="15.6" x14ac:dyDescent="0.3">
      <c r="A573" s="45" t="s">
        <v>22</v>
      </c>
      <c r="B573" s="14" t="s">
        <v>110</v>
      </c>
      <c r="C573" s="15">
        <v>268.14</v>
      </c>
      <c r="D573" s="47">
        <v>3.1500000000000001E-4</v>
      </c>
      <c r="E573" s="50"/>
    </row>
    <row r="574" spans="1:5" ht="15.6" x14ac:dyDescent="0.3">
      <c r="A574" s="45" t="s">
        <v>39</v>
      </c>
      <c r="B574" s="14" t="s">
        <v>110</v>
      </c>
      <c r="C574" s="15">
        <v>265.92</v>
      </c>
      <c r="D574" s="47">
        <v>3.1199999999999999E-4</v>
      </c>
      <c r="E574" s="50"/>
    </row>
    <row r="575" spans="1:5" ht="15.6" x14ac:dyDescent="0.3">
      <c r="A575" s="45" t="s">
        <v>31</v>
      </c>
      <c r="B575" s="14" t="s">
        <v>110</v>
      </c>
      <c r="C575" s="15">
        <v>239.12</v>
      </c>
      <c r="D575" s="47">
        <v>2.81E-4</v>
      </c>
      <c r="E575" s="50"/>
    </row>
    <row r="576" spans="1:5" ht="15.6" x14ac:dyDescent="0.3">
      <c r="A576" s="45" t="s">
        <v>23</v>
      </c>
      <c r="B576" s="14" t="s">
        <v>110</v>
      </c>
      <c r="C576" s="15">
        <v>170.88</v>
      </c>
      <c r="D576" s="47">
        <v>2.0100000000000001E-4</v>
      </c>
      <c r="E576" s="50"/>
    </row>
    <row r="577" spans="1:5" ht="15.6" x14ac:dyDescent="0.3">
      <c r="A577" s="45" t="s">
        <v>51</v>
      </c>
      <c r="B577" s="14" t="s">
        <v>110</v>
      </c>
      <c r="C577" s="15">
        <v>166.3</v>
      </c>
      <c r="D577" s="47">
        <v>1.95E-4</v>
      </c>
      <c r="E577" s="50"/>
    </row>
    <row r="578" spans="1:5" ht="15.6" x14ac:dyDescent="0.3">
      <c r="A578" s="45" t="s">
        <v>34</v>
      </c>
      <c r="B578" s="14" t="s">
        <v>110</v>
      </c>
      <c r="C578" s="15">
        <v>153.52000000000001</v>
      </c>
      <c r="D578" s="47">
        <v>1.7999999999999998E-4</v>
      </c>
      <c r="E578" s="50"/>
    </row>
    <row r="579" spans="1:5" ht="15.6" x14ac:dyDescent="0.3">
      <c r="A579" s="45" t="s">
        <v>53</v>
      </c>
      <c r="B579" s="14" t="s">
        <v>110</v>
      </c>
      <c r="C579" s="15">
        <v>142.09</v>
      </c>
      <c r="D579" s="47">
        <v>1.6699999999999999E-4</v>
      </c>
      <c r="E579" s="50"/>
    </row>
    <row r="580" spans="1:5" ht="15.6" x14ac:dyDescent="0.3">
      <c r="A580" s="45" t="s">
        <v>60</v>
      </c>
      <c r="B580" s="14" t="s">
        <v>110</v>
      </c>
      <c r="C580" s="15">
        <v>117.92</v>
      </c>
      <c r="D580" s="47">
        <v>1.3799999999999999E-4</v>
      </c>
      <c r="E580" s="50"/>
    </row>
    <row r="581" spans="1:5" ht="15.6" x14ac:dyDescent="0.3">
      <c r="A581" s="45" t="s">
        <v>88</v>
      </c>
      <c r="B581" s="14" t="s">
        <v>110</v>
      </c>
      <c r="C581" s="15">
        <v>112.5</v>
      </c>
      <c r="D581" s="47">
        <v>1.3200000000000001E-4</v>
      </c>
      <c r="E581" s="50"/>
    </row>
    <row r="582" spans="1:5" ht="15.6" x14ac:dyDescent="0.3">
      <c r="A582" s="45" t="s">
        <v>79</v>
      </c>
      <c r="B582" s="14" t="s">
        <v>110</v>
      </c>
      <c r="C582" s="15">
        <v>105.64</v>
      </c>
      <c r="D582" s="47">
        <v>1.2400000000000001E-4</v>
      </c>
      <c r="E582" s="50"/>
    </row>
    <row r="583" spans="1:5" ht="15.6" x14ac:dyDescent="0.3">
      <c r="A583" s="45" t="s">
        <v>63</v>
      </c>
      <c r="B583" s="14" t="s">
        <v>110</v>
      </c>
      <c r="C583" s="15">
        <v>99.9</v>
      </c>
      <c r="D583" s="47">
        <v>1.17E-4</v>
      </c>
      <c r="E583" s="50"/>
    </row>
    <row r="584" spans="1:5" ht="15.6" x14ac:dyDescent="0.3">
      <c r="A584" s="45" t="s">
        <v>145</v>
      </c>
      <c r="B584" s="14" t="s">
        <v>110</v>
      </c>
      <c r="C584" s="15">
        <v>88.3</v>
      </c>
      <c r="D584" s="47">
        <v>1.0399999999999999E-4</v>
      </c>
      <c r="E584" s="50"/>
    </row>
    <row r="585" spans="1:5" ht="15.6" x14ac:dyDescent="0.3">
      <c r="A585" s="45" t="s">
        <v>61</v>
      </c>
      <c r="B585" s="14" t="s">
        <v>110</v>
      </c>
      <c r="C585" s="15">
        <v>73.86</v>
      </c>
      <c r="D585" s="47">
        <v>8.7000000000000001E-5</v>
      </c>
      <c r="E585" s="50"/>
    </row>
    <row r="586" spans="1:5" ht="15.6" x14ac:dyDescent="0.3">
      <c r="A586" s="45" t="s">
        <v>58</v>
      </c>
      <c r="B586" s="14" t="s">
        <v>110</v>
      </c>
      <c r="C586" s="15">
        <v>52.85</v>
      </c>
      <c r="D586" s="47">
        <v>6.2000000000000003E-5</v>
      </c>
      <c r="E586" s="50"/>
    </row>
    <row r="587" spans="1:5" ht="15.6" x14ac:dyDescent="0.3">
      <c r="A587" s="45" t="s">
        <v>44</v>
      </c>
      <c r="B587" s="14" t="s">
        <v>110</v>
      </c>
      <c r="C587" s="15">
        <v>43.76</v>
      </c>
      <c r="D587" s="47">
        <v>5.1000000000000006E-5</v>
      </c>
      <c r="E587" s="50"/>
    </row>
    <row r="588" spans="1:5" ht="15.6" x14ac:dyDescent="0.3">
      <c r="A588" s="45" t="s">
        <v>93</v>
      </c>
      <c r="B588" s="14" t="s">
        <v>110</v>
      </c>
      <c r="C588" s="15">
        <v>39.9</v>
      </c>
      <c r="D588" s="47">
        <v>4.7000000000000004E-5</v>
      </c>
      <c r="E588" s="50"/>
    </row>
    <row r="589" spans="1:5" ht="15.6" x14ac:dyDescent="0.3">
      <c r="A589" s="45" t="s">
        <v>52</v>
      </c>
      <c r="B589" s="14" t="s">
        <v>110</v>
      </c>
      <c r="C589" s="15">
        <v>23.94</v>
      </c>
      <c r="D589" s="47">
        <v>2.8E-5</v>
      </c>
      <c r="E589" s="50"/>
    </row>
    <row r="590" spans="1:5" ht="15.6" x14ac:dyDescent="0.3">
      <c r="A590" s="45" t="s">
        <v>81</v>
      </c>
      <c r="B590" s="14" t="s">
        <v>110</v>
      </c>
      <c r="C590" s="15">
        <v>18.2</v>
      </c>
      <c r="D590" s="47">
        <v>2.0999999999999999E-5</v>
      </c>
      <c r="E590" s="50"/>
    </row>
    <row r="591" spans="1:5" ht="15.6" x14ac:dyDescent="0.3">
      <c r="A591" s="45" t="s">
        <v>83</v>
      </c>
      <c r="B591" s="14" t="s">
        <v>110</v>
      </c>
      <c r="C591" s="15">
        <v>14.6</v>
      </c>
      <c r="D591" s="47">
        <v>1.7E-5</v>
      </c>
      <c r="E591" s="50"/>
    </row>
    <row r="592" spans="1:5" ht="15.6" x14ac:dyDescent="0.3">
      <c r="A592" s="54" t="s">
        <v>1</v>
      </c>
      <c r="B592" s="52" t="s">
        <v>111</v>
      </c>
      <c r="C592" s="53">
        <v>159070.41</v>
      </c>
      <c r="D592" s="47">
        <v>0.10614599999999999</v>
      </c>
      <c r="E592" s="50"/>
    </row>
    <row r="593" spans="1:5" ht="15.6" x14ac:dyDescent="0.3">
      <c r="A593" s="54" t="s">
        <v>4</v>
      </c>
      <c r="B593" s="52" t="s">
        <v>111</v>
      </c>
      <c r="C593" s="53">
        <v>157095.5</v>
      </c>
      <c r="D593" s="47">
        <v>0.10482799999999999</v>
      </c>
      <c r="E593" s="50"/>
    </row>
    <row r="594" spans="1:5" ht="15.6" x14ac:dyDescent="0.3">
      <c r="A594" s="54" t="s">
        <v>8</v>
      </c>
      <c r="B594" s="52" t="s">
        <v>111</v>
      </c>
      <c r="C594" s="53">
        <v>127367.48</v>
      </c>
      <c r="D594" s="47">
        <v>8.4990999999999997E-2</v>
      </c>
      <c r="E594" s="50"/>
    </row>
    <row r="595" spans="1:5" ht="15.6" x14ac:dyDescent="0.3">
      <c r="A595" s="54" t="s">
        <v>0</v>
      </c>
      <c r="B595" s="52" t="s">
        <v>111</v>
      </c>
      <c r="C595" s="53">
        <v>120203.08</v>
      </c>
      <c r="D595" s="47">
        <v>8.0210000000000004E-2</v>
      </c>
      <c r="E595" s="50"/>
    </row>
    <row r="596" spans="1:5" ht="15.6" x14ac:dyDescent="0.3">
      <c r="A596" s="54" t="s">
        <v>3</v>
      </c>
      <c r="B596" s="52" t="s">
        <v>111</v>
      </c>
      <c r="C596" s="53">
        <v>113023.99</v>
      </c>
      <c r="D596" s="47">
        <v>7.5419E-2</v>
      </c>
      <c r="E596" s="50"/>
    </row>
    <row r="597" spans="1:5" ht="15.6" x14ac:dyDescent="0.3">
      <c r="A597" s="54" t="s">
        <v>2</v>
      </c>
      <c r="B597" s="52" t="s">
        <v>111</v>
      </c>
      <c r="C597" s="53">
        <v>108087.62</v>
      </c>
      <c r="D597" s="47">
        <v>7.2125000000000009E-2</v>
      </c>
      <c r="E597" s="50"/>
    </row>
    <row r="598" spans="1:5" ht="15.6" x14ac:dyDescent="0.3">
      <c r="A598" s="54" t="s">
        <v>6</v>
      </c>
      <c r="B598" s="52" t="s">
        <v>111</v>
      </c>
      <c r="C598" s="53">
        <v>103751.86</v>
      </c>
      <c r="D598" s="47">
        <v>6.9232000000000002E-2</v>
      </c>
      <c r="E598" s="50"/>
    </row>
    <row r="599" spans="1:5" ht="15.6" x14ac:dyDescent="0.3">
      <c r="A599" s="54" t="s">
        <v>13</v>
      </c>
      <c r="B599" s="52" t="s">
        <v>111</v>
      </c>
      <c r="C599" s="53">
        <v>62216.88</v>
      </c>
      <c r="D599" s="47">
        <v>4.1516000000000004E-2</v>
      </c>
      <c r="E599" s="50"/>
    </row>
    <row r="600" spans="1:5" ht="15.6" x14ac:dyDescent="0.3">
      <c r="A600" s="54" t="s">
        <v>12</v>
      </c>
      <c r="B600" s="52" t="s">
        <v>111</v>
      </c>
      <c r="C600" s="53">
        <v>60409.97</v>
      </c>
      <c r="D600" s="47">
        <v>4.0311000000000007E-2</v>
      </c>
      <c r="E600" s="50"/>
    </row>
    <row r="601" spans="1:5" ht="15.6" x14ac:dyDescent="0.3">
      <c r="A601" s="54" t="s">
        <v>7</v>
      </c>
      <c r="B601" s="52" t="s">
        <v>111</v>
      </c>
      <c r="C601" s="53">
        <v>54545.46</v>
      </c>
      <c r="D601" s="47">
        <v>3.6396999999999999E-2</v>
      </c>
      <c r="E601" s="50"/>
    </row>
    <row r="602" spans="1:5" ht="15.6" x14ac:dyDescent="0.3">
      <c r="A602" s="54" t="s">
        <v>5</v>
      </c>
      <c r="B602" s="52" t="s">
        <v>111</v>
      </c>
      <c r="C602" s="53">
        <v>50918.99</v>
      </c>
      <c r="D602" s="47">
        <v>3.3978000000000001E-2</v>
      </c>
      <c r="E602" s="50"/>
    </row>
    <row r="603" spans="1:5" ht="15.6" x14ac:dyDescent="0.3">
      <c r="A603" s="54" t="s">
        <v>15</v>
      </c>
      <c r="B603" s="52" t="s">
        <v>111</v>
      </c>
      <c r="C603" s="53">
        <v>42307.48</v>
      </c>
      <c r="D603" s="47">
        <v>2.8231000000000003E-2</v>
      </c>
      <c r="E603" s="50"/>
    </row>
    <row r="604" spans="1:5" ht="15.6" x14ac:dyDescent="0.3">
      <c r="A604" s="54" t="s">
        <v>9</v>
      </c>
      <c r="B604" s="52" t="s">
        <v>111</v>
      </c>
      <c r="C604" s="53">
        <v>38067.69</v>
      </c>
      <c r="D604" s="47">
        <v>2.5402000000000001E-2</v>
      </c>
      <c r="E604" s="50"/>
    </row>
    <row r="605" spans="1:5" ht="15.6" x14ac:dyDescent="0.3">
      <c r="A605" s="54" t="s">
        <v>10</v>
      </c>
      <c r="B605" s="52" t="s">
        <v>111</v>
      </c>
      <c r="C605" s="53">
        <v>33299.43</v>
      </c>
      <c r="D605" s="47">
        <v>2.222E-2</v>
      </c>
      <c r="E605" s="50"/>
    </row>
    <row r="606" spans="1:5" ht="15.6" x14ac:dyDescent="0.3">
      <c r="A606" s="54" t="s">
        <v>20</v>
      </c>
      <c r="B606" s="52" t="s">
        <v>111</v>
      </c>
      <c r="C606" s="53">
        <v>30713.38</v>
      </c>
      <c r="D606" s="47">
        <v>2.0494999999999999E-2</v>
      </c>
      <c r="E606" s="50"/>
    </row>
    <row r="607" spans="1:5" ht="15.6" x14ac:dyDescent="0.3">
      <c r="A607" s="54" t="s">
        <v>16</v>
      </c>
      <c r="B607" s="52" t="s">
        <v>111</v>
      </c>
      <c r="C607" s="53">
        <v>28411.69</v>
      </c>
      <c r="D607" s="47">
        <v>1.8959E-2</v>
      </c>
      <c r="E607" s="50"/>
    </row>
    <row r="608" spans="1:5" ht="15.6" x14ac:dyDescent="0.3">
      <c r="A608" s="54" t="s">
        <v>11</v>
      </c>
      <c r="B608" s="52" t="s">
        <v>111</v>
      </c>
      <c r="C608" s="53">
        <v>26536.66</v>
      </c>
      <c r="D608" s="47">
        <v>1.7707999999999998E-2</v>
      </c>
      <c r="E608" s="50"/>
    </row>
    <row r="609" spans="1:5" ht="15.6" x14ac:dyDescent="0.3">
      <c r="A609" s="54" t="s">
        <v>146</v>
      </c>
      <c r="B609" s="52" t="s">
        <v>111</v>
      </c>
      <c r="C609" s="53">
        <v>23068.48</v>
      </c>
      <c r="D609" s="47">
        <v>1.5392999999999999E-2</v>
      </c>
      <c r="E609" s="50"/>
    </row>
    <row r="610" spans="1:5" ht="15.6" x14ac:dyDescent="0.3">
      <c r="A610" s="54" t="s">
        <v>159</v>
      </c>
      <c r="B610" s="52" t="s">
        <v>111</v>
      </c>
      <c r="C610" s="53">
        <v>16648.990000000002</v>
      </c>
      <c r="D610" s="47">
        <v>1.111E-2</v>
      </c>
      <c r="E610" s="50"/>
    </row>
    <row r="611" spans="1:5" ht="15.6" x14ac:dyDescent="0.3">
      <c r="A611" s="54" t="s">
        <v>14</v>
      </c>
      <c r="B611" s="52" t="s">
        <v>111</v>
      </c>
      <c r="C611" s="53">
        <v>16389.02</v>
      </c>
      <c r="D611" s="47">
        <v>1.0936E-2</v>
      </c>
      <c r="E611" s="50"/>
    </row>
    <row r="612" spans="1:5" ht="15.6" x14ac:dyDescent="0.3">
      <c r="A612" s="54" t="s">
        <v>160</v>
      </c>
      <c r="B612" s="52" t="s">
        <v>111</v>
      </c>
      <c r="C612" s="53">
        <v>14454.93</v>
      </c>
      <c r="D612" s="47">
        <v>9.6460000000000001E-3</v>
      </c>
      <c r="E612" s="50"/>
    </row>
    <row r="613" spans="1:5" ht="15.6" x14ac:dyDescent="0.3">
      <c r="A613" s="54" t="s">
        <v>24</v>
      </c>
      <c r="B613" s="52" t="s">
        <v>111</v>
      </c>
      <c r="C613" s="53">
        <v>9338.86</v>
      </c>
      <c r="D613" s="47">
        <v>6.2319999999999997E-3</v>
      </c>
      <c r="E613" s="50"/>
    </row>
    <row r="614" spans="1:5" ht="15.6" x14ac:dyDescent="0.3">
      <c r="A614" s="54" t="s">
        <v>21</v>
      </c>
      <c r="B614" s="52" t="s">
        <v>111</v>
      </c>
      <c r="C614" s="53">
        <v>8278.75</v>
      </c>
      <c r="D614" s="47">
        <v>5.5240000000000003E-3</v>
      </c>
      <c r="E614" s="50"/>
    </row>
    <row r="615" spans="1:5" ht="15.6" x14ac:dyDescent="0.3">
      <c r="A615" s="54" t="s">
        <v>19</v>
      </c>
      <c r="B615" s="52" t="s">
        <v>111</v>
      </c>
      <c r="C615" s="53">
        <v>7261.34</v>
      </c>
      <c r="D615" s="47">
        <v>4.8449999999999995E-3</v>
      </c>
      <c r="E615" s="50"/>
    </row>
    <row r="616" spans="1:5" ht="15.6" x14ac:dyDescent="0.3">
      <c r="A616" s="54" t="s">
        <v>30</v>
      </c>
      <c r="B616" s="52" t="s">
        <v>111</v>
      </c>
      <c r="C616" s="53">
        <v>6793.85</v>
      </c>
      <c r="D616" s="47">
        <v>4.5329999999999997E-3</v>
      </c>
      <c r="E616" s="50"/>
    </row>
    <row r="617" spans="1:5" ht="15.6" x14ac:dyDescent="0.3">
      <c r="A617" s="54" t="s">
        <v>38</v>
      </c>
      <c r="B617" s="52" t="s">
        <v>111</v>
      </c>
      <c r="C617" s="53">
        <v>5830.76</v>
      </c>
      <c r="D617" s="47">
        <v>3.8909999999999999E-3</v>
      </c>
      <c r="E617" s="50"/>
    </row>
    <row r="618" spans="1:5" ht="15.6" x14ac:dyDescent="0.3">
      <c r="A618" s="54" t="s">
        <v>59</v>
      </c>
      <c r="B618" s="52" t="s">
        <v>111</v>
      </c>
      <c r="C618" s="53">
        <v>5284.63</v>
      </c>
      <c r="D618" s="47">
        <v>3.5260000000000001E-3</v>
      </c>
      <c r="E618" s="50"/>
    </row>
    <row r="619" spans="1:5" ht="15.6" x14ac:dyDescent="0.3">
      <c r="A619" s="54" t="s">
        <v>25</v>
      </c>
      <c r="B619" s="52" t="s">
        <v>111</v>
      </c>
      <c r="C619" s="53">
        <v>5283.62</v>
      </c>
      <c r="D619" s="47">
        <v>3.5260000000000001E-3</v>
      </c>
      <c r="E619" s="50"/>
    </row>
    <row r="620" spans="1:5" ht="15.6" x14ac:dyDescent="0.3">
      <c r="A620" s="54" t="s">
        <v>130</v>
      </c>
      <c r="B620" s="52" t="s">
        <v>111</v>
      </c>
      <c r="C620" s="53">
        <v>4780.2299999999996</v>
      </c>
      <c r="D620" s="47">
        <v>3.1900000000000001E-3</v>
      </c>
      <c r="E620" s="50"/>
    </row>
    <row r="621" spans="1:5" ht="15.6" x14ac:dyDescent="0.3">
      <c r="A621" s="54" t="s">
        <v>74</v>
      </c>
      <c r="B621" s="52" t="s">
        <v>111</v>
      </c>
      <c r="C621" s="53">
        <v>4531.8999999999996</v>
      </c>
      <c r="D621" s="47">
        <v>3.0240000000000002E-3</v>
      </c>
      <c r="E621" s="50"/>
    </row>
    <row r="622" spans="1:5" ht="15.6" x14ac:dyDescent="0.3">
      <c r="A622" s="54" t="s">
        <v>161</v>
      </c>
      <c r="B622" s="52" t="s">
        <v>111</v>
      </c>
      <c r="C622" s="53">
        <v>4380.07</v>
      </c>
      <c r="D622" s="47">
        <v>2.9230000000000003E-3</v>
      </c>
      <c r="E622" s="50"/>
    </row>
    <row r="623" spans="1:5" ht="15.6" x14ac:dyDescent="0.3">
      <c r="A623" s="54" t="s">
        <v>45</v>
      </c>
      <c r="B623" s="52" t="s">
        <v>111</v>
      </c>
      <c r="C623" s="53">
        <v>4208.95</v>
      </c>
      <c r="D623" s="47">
        <v>2.8089999999999999E-3</v>
      </c>
      <c r="E623" s="50"/>
    </row>
    <row r="624" spans="1:5" ht="15.6" x14ac:dyDescent="0.3">
      <c r="A624" s="54" t="s">
        <v>39</v>
      </c>
      <c r="B624" s="52" t="s">
        <v>111</v>
      </c>
      <c r="C624" s="53">
        <v>3798.37</v>
      </c>
      <c r="D624" s="47">
        <v>2.5349999999999999E-3</v>
      </c>
      <c r="E624" s="50"/>
    </row>
    <row r="625" spans="1:5" ht="15.6" x14ac:dyDescent="0.3">
      <c r="A625" s="54" t="s">
        <v>26</v>
      </c>
      <c r="B625" s="52" t="s">
        <v>111</v>
      </c>
      <c r="C625" s="53">
        <v>3761.06</v>
      </c>
      <c r="D625" s="47">
        <v>2.5100000000000001E-3</v>
      </c>
      <c r="E625" s="50"/>
    </row>
    <row r="626" spans="1:5" ht="15.6" x14ac:dyDescent="0.3">
      <c r="A626" s="54" t="s">
        <v>29</v>
      </c>
      <c r="B626" s="52" t="s">
        <v>111</v>
      </c>
      <c r="C626" s="53">
        <v>3179.55</v>
      </c>
      <c r="D626" s="47">
        <v>2.1220000000000002E-3</v>
      </c>
      <c r="E626" s="50"/>
    </row>
    <row r="627" spans="1:5" ht="15.6" x14ac:dyDescent="0.3">
      <c r="A627" s="54" t="s">
        <v>32</v>
      </c>
      <c r="B627" s="52" t="s">
        <v>111</v>
      </c>
      <c r="C627" s="53">
        <v>3121.79</v>
      </c>
      <c r="D627" s="47">
        <v>2.0830000000000002E-3</v>
      </c>
      <c r="E627" s="50"/>
    </row>
    <row r="628" spans="1:5" ht="15.6" x14ac:dyDescent="0.3">
      <c r="A628" s="54" t="s">
        <v>64</v>
      </c>
      <c r="B628" s="52" t="s">
        <v>111</v>
      </c>
      <c r="C628" s="53">
        <v>2974.55</v>
      </c>
      <c r="D628" s="47">
        <v>1.9850000000000002E-3</v>
      </c>
      <c r="E628" s="50"/>
    </row>
    <row r="629" spans="1:5" ht="15.6" x14ac:dyDescent="0.3">
      <c r="A629" s="54" t="s">
        <v>42</v>
      </c>
      <c r="B629" s="52" t="s">
        <v>111</v>
      </c>
      <c r="C629" s="53">
        <v>2324.98</v>
      </c>
      <c r="D629" s="47">
        <v>1.5509999999999999E-3</v>
      </c>
      <c r="E629" s="50"/>
    </row>
    <row r="630" spans="1:5" ht="15.6" x14ac:dyDescent="0.3">
      <c r="A630" s="54" t="s">
        <v>61</v>
      </c>
      <c r="B630" s="52" t="s">
        <v>111</v>
      </c>
      <c r="C630" s="53">
        <v>2291.5</v>
      </c>
      <c r="D630" s="47">
        <v>1.529E-3</v>
      </c>
      <c r="E630" s="50"/>
    </row>
    <row r="631" spans="1:5" ht="15.6" x14ac:dyDescent="0.3">
      <c r="A631" s="54" t="s">
        <v>54</v>
      </c>
      <c r="B631" s="52" t="s">
        <v>111</v>
      </c>
      <c r="C631" s="53">
        <v>1833.45</v>
      </c>
      <c r="D631" s="47">
        <v>1.2230000000000001E-3</v>
      </c>
      <c r="E631" s="50"/>
    </row>
    <row r="632" spans="1:5" ht="15.6" x14ac:dyDescent="0.3">
      <c r="A632" s="54" t="s">
        <v>44</v>
      </c>
      <c r="B632" s="52" t="s">
        <v>111</v>
      </c>
      <c r="C632" s="53">
        <v>1761.68</v>
      </c>
      <c r="D632" s="47">
        <v>1.176E-3</v>
      </c>
      <c r="E632" s="50"/>
    </row>
    <row r="633" spans="1:5" ht="15.6" x14ac:dyDescent="0.3">
      <c r="A633" s="54" t="s">
        <v>41</v>
      </c>
      <c r="B633" s="52" t="s">
        <v>111</v>
      </c>
      <c r="C633" s="53">
        <v>1510.2</v>
      </c>
      <c r="D633" s="47">
        <v>1.008E-3</v>
      </c>
      <c r="E633" s="50"/>
    </row>
    <row r="634" spans="1:5" ht="15.6" x14ac:dyDescent="0.3">
      <c r="A634" s="54" t="s">
        <v>40</v>
      </c>
      <c r="B634" s="52" t="s">
        <v>111</v>
      </c>
      <c r="C634" s="53">
        <v>1377.74</v>
      </c>
      <c r="D634" s="47">
        <v>9.19E-4</v>
      </c>
      <c r="E634" s="50"/>
    </row>
    <row r="635" spans="1:5" ht="15.6" x14ac:dyDescent="0.3">
      <c r="A635" s="54" t="s">
        <v>46</v>
      </c>
      <c r="B635" s="52" t="s">
        <v>111</v>
      </c>
      <c r="C635" s="53">
        <v>1363.16</v>
      </c>
      <c r="D635" s="47">
        <v>9.1E-4</v>
      </c>
      <c r="E635" s="50"/>
    </row>
    <row r="636" spans="1:5" ht="15.6" x14ac:dyDescent="0.3">
      <c r="A636" s="54" t="s">
        <v>47</v>
      </c>
      <c r="B636" s="52" t="s">
        <v>111</v>
      </c>
      <c r="C636" s="53">
        <v>1293.05</v>
      </c>
      <c r="D636" s="47">
        <v>8.6300000000000005E-4</v>
      </c>
      <c r="E636" s="50"/>
    </row>
    <row r="637" spans="1:5" ht="15.6" x14ac:dyDescent="0.3">
      <c r="A637" s="54" t="s">
        <v>37</v>
      </c>
      <c r="B637" s="52" t="s">
        <v>111</v>
      </c>
      <c r="C637" s="53">
        <v>1240.95</v>
      </c>
      <c r="D637" s="47">
        <v>8.2799999999999996E-4</v>
      </c>
      <c r="E637" s="50"/>
    </row>
    <row r="638" spans="1:5" ht="15.6" x14ac:dyDescent="0.3">
      <c r="A638" s="54" t="s">
        <v>55</v>
      </c>
      <c r="B638" s="52" t="s">
        <v>111</v>
      </c>
      <c r="C638" s="53">
        <v>1026.6500000000001</v>
      </c>
      <c r="D638" s="47">
        <v>6.8500000000000006E-4</v>
      </c>
      <c r="E638" s="50"/>
    </row>
    <row r="639" spans="1:5" ht="15.6" x14ac:dyDescent="0.3">
      <c r="A639" s="54" t="s">
        <v>17</v>
      </c>
      <c r="B639" s="52" t="s">
        <v>111</v>
      </c>
      <c r="C639" s="53">
        <v>960.98</v>
      </c>
      <c r="D639" s="47">
        <v>6.4100000000000008E-4</v>
      </c>
      <c r="E639" s="50"/>
    </row>
    <row r="640" spans="1:5" ht="15.6" x14ac:dyDescent="0.3">
      <c r="A640" s="54" t="s">
        <v>50</v>
      </c>
      <c r="B640" s="52" t="s">
        <v>111</v>
      </c>
      <c r="C640" s="53">
        <v>898.1</v>
      </c>
      <c r="D640" s="47">
        <v>5.9900000000000003E-4</v>
      </c>
      <c r="E640" s="50"/>
    </row>
    <row r="641" spans="1:5" ht="15.6" x14ac:dyDescent="0.3">
      <c r="A641" s="54" t="s">
        <v>51</v>
      </c>
      <c r="B641" s="52" t="s">
        <v>111</v>
      </c>
      <c r="C641" s="53">
        <v>879.51</v>
      </c>
      <c r="D641" s="47">
        <v>5.8700000000000007E-4</v>
      </c>
      <c r="E641" s="50"/>
    </row>
    <row r="642" spans="1:5" ht="15.6" x14ac:dyDescent="0.3">
      <c r="A642" s="54" t="s">
        <v>60</v>
      </c>
      <c r="B642" s="52" t="s">
        <v>111</v>
      </c>
      <c r="C642" s="53">
        <v>780.75</v>
      </c>
      <c r="D642" s="47">
        <v>5.2099999999999998E-4</v>
      </c>
      <c r="E642" s="50"/>
    </row>
    <row r="643" spans="1:5" ht="15.6" x14ac:dyDescent="0.3">
      <c r="A643" s="54" t="s">
        <v>23</v>
      </c>
      <c r="B643" s="52" t="s">
        <v>111</v>
      </c>
      <c r="C643" s="53">
        <v>778.4</v>
      </c>
      <c r="D643" s="47">
        <v>5.1900000000000004E-4</v>
      </c>
      <c r="E643" s="50"/>
    </row>
    <row r="644" spans="1:5" ht="15.6" x14ac:dyDescent="0.3">
      <c r="A644" s="54" t="s">
        <v>145</v>
      </c>
      <c r="B644" s="52" t="s">
        <v>111</v>
      </c>
      <c r="C644" s="53">
        <v>703.22</v>
      </c>
      <c r="D644" s="47">
        <v>4.6899999999999996E-4</v>
      </c>
      <c r="E644" s="50"/>
    </row>
    <row r="645" spans="1:5" ht="15.6" x14ac:dyDescent="0.3">
      <c r="A645" s="54" t="s">
        <v>96</v>
      </c>
      <c r="B645" s="52" t="s">
        <v>111</v>
      </c>
      <c r="C645" s="53">
        <v>629.14</v>
      </c>
      <c r="D645" s="47">
        <v>4.2000000000000002E-4</v>
      </c>
      <c r="E645" s="50"/>
    </row>
    <row r="646" spans="1:5" ht="15.6" x14ac:dyDescent="0.3">
      <c r="A646" s="54" t="s">
        <v>31</v>
      </c>
      <c r="B646" s="52" t="s">
        <v>111</v>
      </c>
      <c r="C646" s="53">
        <v>525.36</v>
      </c>
      <c r="D646" s="47">
        <v>3.5099999999999997E-4</v>
      </c>
      <c r="E646" s="50"/>
    </row>
    <row r="647" spans="1:5" ht="15.6" x14ac:dyDescent="0.3">
      <c r="A647" s="54" t="s">
        <v>53</v>
      </c>
      <c r="B647" s="52" t="s">
        <v>111</v>
      </c>
      <c r="C647" s="53">
        <v>520.70000000000005</v>
      </c>
      <c r="D647" s="47">
        <v>3.4700000000000003E-4</v>
      </c>
      <c r="E647" s="50"/>
    </row>
    <row r="648" spans="1:5" ht="15.6" x14ac:dyDescent="0.3">
      <c r="A648" s="54" t="s">
        <v>35</v>
      </c>
      <c r="B648" s="52" t="s">
        <v>111</v>
      </c>
      <c r="C648" s="53">
        <v>511.7</v>
      </c>
      <c r="D648" s="47">
        <v>3.4099999999999999E-4</v>
      </c>
      <c r="E648" s="50"/>
    </row>
    <row r="649" spans="1:5" ht="15.6" x14ac:dyDescent="0.3">
      <c r="A649" s="54" t="s">
        <v>63</v>
      </c>
      <c r="B649" s="52" t="s">
        <v>111</v>
      </c>
      <c r="C649" s="53">
        <v>466.84</v>
      </c>
      <c r="D649" s="47">
        <v>3.1199999999999999E-4</v>
      </c>
      <c r="E649" s="50"/>
    </row>
    <row r="650" spans="1:5" ht="15.6" x14ac:dyDescent="0.3">
      <c r="A650" s="54" t="s">
        <v>43</v>
      </c>
      <c r="B650" s="52" t="s">
        <v>111</v>
      </c>
      <c r="C650" s="53">
        <v>419.36</v>
      </c>
      <c r="D650" s="47">
        <v>2.8000000000000003E-4</v>
      </c>
      <c r="E650" s="50"/>
    </row>
    <row r="651" spans="1:5" ht="15.6" x14ac:dyDescent="0.3">
      <c r="A651" s="54" t="s">
        <v>62</v>
      </c>
      <c r="B651" s="52" t="s">
        <v>111</v>
      </c>
      <c r="C651" s="53">
        <v>395.16</v>
      </c>
      <c r="D651" s="47">
        <v>2.6400000000000002E-4</v>
      </c>
      <c r="E651" s="50"/>
    </row>
    <row r="652" spans="1:5" ht="15.6" x14ac:dyDescent="0.3">
      <c r="A652" s="54" t="s">
        <v>84</v>
      </c>
      <c r="B652" s="52" t="s">
        <v>111</v>
      </c>
      <c r="C652" s="53">
        <v>378.97</v>
      </c>
      <c r="D652" s="47">
        <v>2.5299999999999997E-4</v>
      </c>
      <c r="E652" s="50"/>
    </row>
    <row r="653" spans="1:5" ht="15.6" x14ac:dyDescent="0.3">
      <c r="A653" s="54" t="s">
        <v>83</v>
      </c>
      <c r="B653" s="52" t="s">
        <v>111</v>
      </c>
      <c r="C653" s="53">
        <v>367.68</v>
      </c>
      <c r="D653" s="47">
        <v>2.4499999999999999E-4</v>
      </c>
      <c r="E653" s="50"/>
    </row>
    <row r="654" spans="1:5" ht="15.6" x14ac:dyDescent="0.3">
      <c r="A654" s="54" t="s">
        <v>56</v>
      </c>
      <c r="B654" s="52" t="s">
        <v>111</v>
      </c>
      <c r="C654" s="53">
        <v>359.99</v>
      </c>
      <c r="D654" s="47">
        <v>2.4000000000000001E-4</v>
      </c>
      <c r="E654" s="50"/>
    </row>
    <row r="655" spans="1:5" ht="15.6" x14ac:dyDescent="0.3">
      <c r="A655" s="54" t="s">
        <v>33</v>
      </c>
      <c r="B655" s="52" t="s">
        <v>111</v>
      </c>
      <c r="C655" s="53">
        <v>348.22</v>
      </c>
      <c r="D655" s="47">
        <v>2.3199999999999997E-4</v>
      </c>
      <c r="E655" s="50"/>
    </row>
    <row r="656" spans="1:5" ht="15.6" x14ac:dyDescent="0.3">
      <c r="A656" s="54" t="s">
        <v>162</v>
      </c>
      <c r="B656" s="52" t="s">
        <v>111</v>
      </c>
      <c r="C656" s="53">
        <v>306.72000000000003</v>
      </c>
      <c r="D656" s="47">
        <v>2.05E-4</v>
      </c>
      <c r="E656" s="50"/>
    </row>
    <row r="657" spans="1:5" ht="15.6" x14ac:dyDescent="0.3">
      <c r="A657" s="54" t="s">
        <v>27</v>
      </c>
      <c r="B657" s="52" t="s">
        <v>111</v>
      </c>
      <c r="C657" s="53">
        <v>263.58</v>
      </c>
      <c r="D657" s="47">
        <v>1.7600000000000002E-4</v>
      </c>
      <c r="E657" s="50"/>
    </row>
    <row r="658" spans="1:5" ht="15.6" x14ac:dyDescent="0.3">
      <c r="A658" s="54" t="s">
        <v>28</v>
      </c>
      <c r="B658" s="52" t="s">
        <v>111</v>
      </c>
      <c r="C658" s="53">
        <v>223.62</v>
      </c>
      <c r="D658" s="47">
        <v>1.4899999999999999E-4</v>
      </c>
      <c r="E658" s="50"/>
    </row>
    <row r="659" spans="1:5" ht="15.6" x14ac:dyDescent="0.3">
      <c r="A659" s="54" t="s">
        <v>149</v>
      </c>
      <c r="B659" s="52" t="s">
        <v>111</v>
      </c>
      <c r="C659" s="53">
        <v>215.82</v>
      </c>
      <c r="D659" s="47">
        <v>1.44E-4</v>
      </c>
      <c r="E659" s="50"/>
    </row>
    <row r="660" spans="1:5" ht="15.6" x14ac:dyDescent="0.3">
      <c r="A660" s="54" t="s">
        <v>37</v>
      </c>
      <c r="B660" s="52" t="s">
        <v>111</v>
      </c>
      <c r="C660" s="53">
        <v>207.48</v>
      </c>
      <c r="D660" s="47">
        <v>1.3799999999999999E-4</v>
      </c>
      <c r="E660" s="50"/>
    </row>
    <row r="661" spans="1:5" ht="15.6" x14ac:dyDescent="0.3">
      <c r="A661" s="54" t="s">
        <v>91</v>
      </c>
      <c r="B661" s="52" t="s">
        <v>111</v>
      </c>
      <c r="C661" s="53">
        <v>196.8</v>
      </c>
      <c r="D661" s="47">
        <v>1.3100000000000001E-4</v>
      </c>
      <c r="E661" s="50"/>
    </row>
    <row r="662" spans="1:5" ht="15.6" x14ac:dyDescent="0.3">
      <c r="A662" s="54" t="s">
        <v>88</v>
      </c>
      <c r="B662" s="52" t="s">
        <v>111</v>
      </c>
      <c r="C662" s="53">
        <v>192.7</v>
      </c>
      <c r="D662" s="47">
        <v>1.2899999999999999E-4</v>
      </c>
      <c r="E662" s="50"/>
    </row>
    <row r="663" spans="1:5" ht="15.6" x14ac:dyDescent="0.3">
      <c r="A663" s="54" t="s">
        <v>76</v>
      </c>
      <c r="B663" s="52" t="s">
        <v>111</v>
      </c>
      <c r="C663" s="53">
        <v>181.68</v>
      </c>
      <c r="D663" s="47">
        <v>1.21E-4</v>
      </c>
      <c r="E663" s="50"/>
    </row>
    <row r="664" spans="1:5" ht="15.6" x14ac:dyDescent="0.3">
      <c r="A664" s="54" t="s">
        <v>58</v>
      </c>
      <c r="B664" s="52" t="s">
        <v>111</v>
      </c>
      <c r="C664" s="53">
        <v>174.81</v>
      </c>
      <c r="D664" s="47">
        <v>1.17E-4</v>
      </c>
      <c r="E664" s="50"/>
    </row>
    <row r="665" spans="1:5" ht="15.6" x14ac:dyDescent="0.3">
      <c r="A665" s="54" t="s">
        <v>82</v>
      </c>
      <c r="B665" s="52" t="s">
        <v>111</v>
      </c>
      <c r="C665" s="53">
        <v>174.64</v>
      </c>
      <c r="D665" s="47">
        <v>1.17E-4</v>
      </c>
      <c r="E665" s="50"/>
    </row>
    <row r="666" spans="1:5" ht="15.6" x14ac:dyDescent="0.3">
      <c r="A666" s="54" t="s">
        <v>67</v>
      </c>
      <c r="B666" s="52" t="s">
        <v>111</v>
      </c>
      <c r="C666" s="53">
        <v>163.80000000000001</v>
      </c>
      <c r="D666" s="47">
        <v>1.0899999999999999E-4</v>
      </c>
      <c r="E666" s="50"/>
    </row>
    <row r="667" spans="1:5" ht="15.6" x14ac:dyDescent="0.3">
      <c r="A667" s="54" t="s">
        <v>93</v>
      </c>
      <c r="B667" s="52" t="s">
        <v>111</v>
      </c>
      <c r="C667" s="53">
        <v>159.6</v>
      </c>
      <c r="D667" s="47">
        <v>1.06E-4</v>
      </c>
      <c r="E667" s="50"/>
    </row>
    <row r="668" spans="1:5" ht="15.6" x14ac:dyDescent="0.3">
      <c r="A668" s="54" t="s">
        <v>78</v>
      </c>
      <c r="B668" s="52" t="s">
        <v>111</v>
      </c>
      <c r="C668" s="53">
        <v>148.4</v>
      </c>
      <c r="D668" s="47">
        <v>9.9000000000000008E-5</v>
      </c>
      <c r="E668" s="50"/>
    </row>
    <row r="669" spans="1:5" ht="15.6" x14ac:dyDescent="0.3">
      <c r="A669" s="54" t="s">
        <v>34</v>
      </c>
      <c r="B669" s="52" t="s">
        <v>111</v>
      </c>
      <c r="C669" s="53">
        <v>131.66999999999999</v>
      </c>
      <c r="D669" s="47">
        <v>8.8000000000000011E-5</v>
      </c>
      <c r="E669" s="50"/>
    </row>
    <row r="670" spans="1:5" ht="15.6" x14ac:dyDescent="0.3">
      <c r="A670" s="54" t="s">
        <v>79</v>
      </c>
      <c r="B670" s="52" t="s">
        <v>111</v>
      </c>
      <c r="C670" s="53">
        <v>110.1</v>
      </c>
      <c r="D670" s="47">
        <v>7.2999999999999999E-5</v>
      </c>
      <c r="E670" s="50"/>
    </row>
    <row r="671" spans="1:5" ht="15.6" x14ac:dyDescent="0.3">
      <c r="A671" s="54" t="s">
        <v>97</v>
      </c>
      <c r="B671" s="52" t="s">
        <v>111</v>
      </c>
      <c r="C671" s="53">
        <v>74.88</v>
      </c>
      <c r="D671" s="47">
        <v>5.0000000000000002E-5</v>
      </c>
      <c r="E671" s="50"/>
    </row>
    <row r="672" spans="1:5" ht="15.6" x14ac:dyDescent="0.3">
      <c r="A672" s="54" t="s">
        <v>133</v>
      </c>
      <c r="B672" s="52" t="s">
        <v>111</v>
      </c>
      <c r="C672" s="53">
        <v>68</v>
      </c>
      <c r="D672" s="47">
        <v>4.4999999999999996E-5</v>
      </c>
      <c r="E672" s="50"/>
    </row>
    <row r="673" spans="1:5" ht="15.6" x14ac:dyDescent="0.3">
      <c r="A673" s="54" t="s">
        <v>81</v>
      </c>
      <c r="B673" s="52" t="s">
        <v>111</v>
      </c>
      <c r="C673" s="53">
        <v>52.8</v>
      </c>
      <c r="D673" s="47">
        <v>3.5000000000000004E-5</v>
      </c>
      <c r="E673" s="50"/>
    </row>
    <row r="674" spans="1:5" ht="15.6" x14ac:dyDescent="0.3">
      <c r="A674" s="54" t="s">
        <v>135</v>
      </c>
      <c r="B674" s="52" t="s">
        <v>111</v>
      </c>
      <c r="C674" s="53">
        <v>47.16</v>
      </c>
      <c r="D674" s="47">
        <v>3.1000000000000001E-5</v>
      </c>
      <c r="E674" s="50"/>
    </row>
    <row r="675" spans="1:5" ht="15.6" x14ac:dyDescent="0.3">
      <c r="A675" s="54" t="s">
        <v>66</v>
      </c>
      <c r="B675" s="52" t="s">
        <v>111</v>
      </c>
      <c r="C675" s="53">
        <v>46.8</v>
      </c>
      <c r="D675" s="47">
        <v>3.1000000000000001E-5</v>
      </c>
      <c r="E675" s="50"/>
    </row>
    <row r="676" spans="1:5" ht="15.6" x14ac:dyDescent="0.3">
      <c r="A676" s="54" t="s">
        <v>22</v>
      </c>
      <c r="B676" s="52" t="s">
        <v>111</v>
      </c>
      <c r="C676" s="53">
        <v>39.950000000000003</v>
      </c>
      <c r="D676" s="47">
        <v>2.7000000000000002E-5</v>
      </c>
      <c r="E676" s="50"/>
    </row>
    <row r="677" spans="1:5" ht="15.6" x14ac:dyDescent="0.3">
      <c r="A677" s="54" t="s">
        <v>75</v>
      </c>
      <c r="B677" s="52" t="s">
        <v>111</v>
      </c>
      <c r="C677" s="53">
        <v>38.04</v>
      </c>
      <c r="D677" s="47">
        <v>2.5000000000000001E-5</v>
      </c>
      <c r="E677" s="50"/>
    </row>
    <row r="678" spans="1:5" ht="15.6" x14ac:dyDescent="0.3">
      <c r="A678" s="54" t="s">
        <v>49</v>
      </c>
      <c r="B678" s="52" t="s">
        <v>111</v>
      </c>
      <c r="C678" s="53">
        <v>29.46</v>
      </c>
      <c r="D678" s="47">
        <v>2.0000000000000002E-5</v>
      </c>
      <c r="E678" s="50"/>
    </row>
    <row r="679" spans="1:5" ht="15.6" x14ac:dyDescent="0.3">
      <c r="A679" s="54" t="s">
        <v>85</v>
      </c>
      <c r="B679" s="52" t="s">
        <v>111</v>
      </c>
      <c r="C679" s="53">
        <v>13.14</v>
      </c>
      <c r="D679" s="47">
        <v>9.0000000000000002E-6</v>
      </c>
      <c r="E679" s="50"/>
    </row>
    <row r="680" spans="1:5" ht="15.6" x14ac:dyDescent="0.3">
      <c r="A680" s="54" t="s">
        <v>1</v>
      </c>
      <c r="B680" s="52" t="s">
        <v>112</v>
      </c>
      <c r="C680" s="53">
        <v>169623.37</v>
      </c>
      <c r="D680" s="56">
        <v>0.123141</v>
      </c>
    </row>
    <row r="681" spans="1:5" ht="15.6" x14ac:dyDescent="0.3">
      <c r="A681" s="54" t="s">
        <v>4</v>
      </c>
      <c r="B681" s="52" t="s">
        <v>112</v>
      </c>
      <c r="C681" s="53">
        <v>118969.94</v>
      </c>
      <c r="D681" s="56">
        <v>8.6367999999999986E-2</v>
      </c>
    </row>
    <row r="682" spans="1:5" ht="15.6" x14ac:dyDescent="0.3">
      <c r="A682" s="54" t="s">
        <v>0</v>
      </c>
      <c r="B682" s="52" t="s">
        <v>112</v>
      </c>
      <c r="C682" s="53">
        <v>115557.73</v>
      </c>
      <c r="D682" s="56">
        <v>8.3890999999999993E-2</v>
      </c>
    </row>
    <row r="683" spans="1:5" ht="15.6" x14ac:dyDescent="0.3">
      <c r="A683" s="54" t="s">
        <v>3</v>
      </c>
      <c r="B683" s="52" t="s">
        <v>112</v>
      </c>
      <c r="C683" s="53">
        <v>113489.14</v>
      </c>
      <c r="D683" s="56">
        <v>8.238899999999999E-2</v>
      </c>
    </row>
    <row r="684" spans="1:5" ht="15.6" x14ac:dyDescent="0.3">
      <c r="A684" s="54" t="s">
        <v>2</v>
      </c>
      <c r="B684" s="52" t="s">
        <v>112</v>
      </c>
      <c r="C684" s="53">
        <v>106812.79</v>
      </c>
      <c r="D684" s="56">
        <v>7.7543000000000001E-2</v>
      </c>
    </row>
    <row r="685" spans="1:5" ht="15.6" x14ac:dyDescent="0.3">
      <c r="A685" s="54" t="s">
        <v>8</v>
      </c>
      <c r="B685" s="52" t="s">
        <v>112</v>
      </c>
      <c r="C685" s="53">
        <v>84617.13</v>
      </c>
      <c r="D685" s="56">
        <v>6.1428999999999997E-2</v>
      </c>
    </row>
    <row r="686" spans="1:5" ht="15.6" x14ac:dyDescent="0.3">
      <c r="A686" s="54" t="s">
        <v>6</v>
      </c>
      <c r="B686" s="52" t="s">
        <v>112</v>
      </c>
      <c r="C686" s="53">
        <v>49105.48</v>
      </c>
      <c r="D686" s="56">
        <v>3.5649E-2</v>
      </c>
    </row>
    <row r="687" spans="1:5" ht="15.6" x14ac:dyDescent="0.3">
      <c r="A687" s="54" t="s">
        <v>11</v>
      </c>
      <c r="B687" s="52" t="s">
        <v>112</v>
      </c>
      <c r="C687" s="53">
        <v>48055.21</v>
      </c>
      <c r="D687" s="56">
        <v>3.4887000000000001E-2</v>
      </c>
    </row>
    <row r="688" spans="1:5" ht="15.6" x14ac:dyDescent="0.3">
      <c r="A688" s="54" t="s">
        <v>17</v>
      </c>
      <c r="B688" s="52" t="s">
        <v>112</v>
      </c>
      <c r="C688" s="53">
        <v>44889.37</v>
      </c>
      <c r="D688" s="56">
        <v>3.2587999999999999E-2</v>
      </c>
    </row>
    <row r="689" spans="1:4" ht="15.6" x14ac:dyDescent="0.3">
      <c r="A689" s="54" t="s">
        <v>7</v>
      </c>
      <c r="B689" s="52" t="s">
        <v>112</v>
      </c>
      <c r="C689" s="53">
        <v>42106.43</v>
      </c>
      <c r="D689" s="56">
        <v>3.0567999999999998E-2</v>
      </c>
    </row>
    <row r="690" spans="1:4" ht="15.6" x14ac:dyDescent="0.3">
      <c r="A690" s="54" t="s">
        <v>160</v>
      </c>
      <c r="B690" s="52" t="s">
        <v>112</v>
      </c>
      <c r="C690" s="53">
        <v>42029.07</v>
      </c>
      <c r="D690" s="56">
        <v>3.0512000000000001E-2</v>
      </c>
    </row>
    <row r="691" spans="1:4" ht="15.6" x14ac:dyDescent="0.3">
      <c r="A691" s="54" t="s">
        <v>20</v>
      </c>
      <c r="B691" s="52" t="s">
        <v>112</v>
      </c>
      <c r="C691" s="53">
        <v>33029.839999999997</v>
      </c>
      <c r="D691" s="56">
        <v>2.3979E-2</v>
      </c>
    </row>
    <row r="692" spans="1:4" ht="15.6" x14ac:dyDescent="0.3">
      <c r="A692" s="54" t="s">
        <v>10</v>
      </c>
      <c r="B692" s="52" t="s">
        <v>112</v>
      </c>
      <c r="C692" s="53">
        <v>31943.86</v>
      </c>
      <c r="D692" s="56">
        <v>2.3189999999999999E-2</v>
      </c>
    </row>
    <row r="693" spans="1:4" ht="15.6" x14ac:dyDescent="0.3">
      <c r="A693" s="54" t="s">
        <v>59</v>
      </c>
      <c r="B693" s="52" t="s">
        <v>112</v>
      </c>
      <c r="C693" s="53">
        <v>30776.81</v>
      </c>
      <c r="D693" s="56">
        <v>2.2343000000000002E-2</v>
      </c>
    </row>
    <row r="694" spans="1:4" ht="15.6" x14ac:dyDescent="0.3">
      <c r="A694" s="54" t="s">
        <v>15</v>
      </c>
      <c r="B694" s="52" t="s">
        <v>112</v>
      </c>
      <c r="C694" s="53">
        <v>26312.84</v>
      </c>
      <c r="D694" s="56">
        <v>1.9101999999999997E-2</v>
      </c>
    </row>
    <row r="695" spans="1:4" ht="15.6" x14ac:dyDescent="0.3">
      <c r="A695" s="54" t="s">
        <v>12</v>
      </c>
      <c r="B695" s="52" t="s">
        <v>112</v>
      </c>
      <c r="C695" s="53">
        <v>26057.38</v>
      </c>
      <c r="D695" s="56">
        <v>1.8917E-2</v>
      </c>
    </row>
    <row r="696" spans="1:4" ht="15.6" x14ac:dyDescent="0.3">
      <c r="A696" s="54" t="s">
        <v>9</v>
      </c>
      <c r="B696" s="52" t="s">
        <v>112</v>
      </c>
      <c r="C696" s="53">
        <v>25831.43</v>
      </c>
      <c r="D696" s="56">
        <v>1.8752999999999999E-2</v>
      </c>
    </row>
    <row r="697" spans="1:4" ht="15.6" x14ac:dyDescent="0.3">
      <c r="A697" s="54" t="s">
        <v>30</v>
      </c>
      <c r="B697" s="52" t="s">
        <v>112</v>
      </c>
      <c r="C697" s="53">
        <v>25746.400000000001</v>
      </c>
      <c r="D697" s="56">
        <v>1.8690999999999999E-2</v>
      </c>
    </row>
    <row r="698" spans="1:4" ht="15.6" x14ac:dyDescent="0.3">
      <c r="A698" s="54" t="s">
        <v>5</v>
      </c>
      <c r="B698" s="52" t="s">
        <v>112</v>
      </c>
      <c r="C698" s="53">
        <v>22264.83</v>
      </c>
      <c r="D698" s="56">
        <v>1.6164000000000001E-2</v>
      </c>
    </row>
    <row r="699" spans="1:4" ht="15.6" x14ac:dyDescent="0.3">
      <c r="A699" s="54" t="s">
        <v>56</v>
      </c>
      <c r="B699" s="52" t="s">
        <v>112</v>
      </c>
      <c r="C699" s="53">
        <v>19117.349999999999</v>
      </c>
      <c r="D699" s="56">
        <v>1.3878999999999999E-2</v>
      </c>
    </row>
    <row r="700" spans="1:4" ht="15.6" x14ac:dyDescent="0.3">
      <c r="A700" s="54" t="s">
        <v>159</v>
      </c>
      <c r="B700" s="52" t="s">
        <v>112</v>
      </c>
      <c r="C700" s="53">
        <v>17211.43</v>
      </c>
      <c r="D700" s="56">
        <v>1.2495000000000001E-2</v>
      </c>
    </row>
    <row r="701" spans="1:4" ht="15.6" x14ac:dyDescent="0.3">
      <c r="A701" s="54" t="s">
        <v>146</v>
      </c>
      <c r="B701" s="52" t="s">
        <v>112</v>
      </c>
      <c r="C701" s="53">
        <v>16265.13</v>
      </c>
      <c r="D701" s="56">
        <v>1.1808000000000001E-2</v>
      </c>
    </row>
    <row r="702" spans="1:4" ht="15.6" x14ac:dyDescent="0.3">
      <c r="A702" s="54" t="s">
        <v>13</v>
      </c>
      <c r="B702" s="52" t="s">
        <v>112</v>
      </c>
      <c r="C702" s="53">
        <v>15342.97</v>
      </c>
      <c r="D702" s="56">
        <v>1.1139E-2</v>
      </c>
    </row>
    <row r="703" spans="1:4" ht="15.6" x14ac:dyDescent="0.3">
      <c r="A703" s="54" t="s">
        <v>163</v>
      </c>
      <c r="B703" s="52" t="s">
        <v>112</v>
      </c>
      <c r="C703" s="53">
        <v>14133.58</v>
      </c>
      <c r="D703" s="56">
        <v>1.0260999999999999E-2</v>
      </c>
    </row>
    <row r="704" spans="1:4" ht="15.6" x14ac:dyDescent="0.3">
      <c r="A704" s="54" t="s">
        <v>14</v>
      </c>
      <c r="B704" s="52" t="s">
        <v>112</v>
      </c>
      <c r="C704" s="53">
        <v>14015.13</v>
      </c>
      <c r="D704" s="56">
        <v>1.0175E-2</v>
      </c>
    </row>
    <row r="705" spans="1:4" ht="15.6" x14ac:dyDescent="0.3">
      <c r="A705" s="54" t="s">
        <v>16</v>
      </c>
      <c r="B705" s="52" t="s">
        <v>112</v>
      </c>
      <c r="C705" s="53">
        <v>13271.81</v>
      </c>
      <c r="D705" s="56">
        <v>9.6349999999999995E-3</v>
      </c>
    </row>
    <row r="706" spans="1:4" ht="15.6" x14ac:dyDescent="0.3">
      <c r="A706" s="54" t="s">
        <v>27</v>
      </c>
      <c r="B706" s="52" t="s">
        <v>112</v>
      </c>
      <c r="C706" s="53">
        <v>8609.7900000000009</v>
      </c>
      <c r="D706" s="56">
        <v>6.2500000000000003E-3</v>
      </c>
    </row>
    <row r="707" spans="1:4" ht="15.6" x14ac:dyDescent="0.3">
      <c r="A707" s="54" t="s">
        <v>19</v>
      </c>
      <c r="B707" s="52" t="s">
        <v>112</v>
      </c>
      <c r="C707" s="53">
        <v>8413.1299999999992</v>
      </c>
      <c r="D707" s="56">
        <v>6.1079999999999997E-3</v>
      </c>
    </row>
    <row r="708" spans="1:4" ht="15.6" x14ac:dyDescent="0.3">
      <c r="A708" s="54" t="s">
        <v>29</v>
      </c>
      <c r="B708" s="52" t="s">
        <v>112</v>
      </c>
      <c r="C708" s="53">
        <v>8115.86</v>
      </c>
      <c r="D708" s="56">
        <v>5.8919999999999997E-3</v>
      </c>
    </row>
    <row r="709" spans="1:4" ht="15.6" x14ac:dyDescent="0.3">
      <c r="A709" s="54" t="s">
        <v>24</v>
      </c>
      <c r="B709" s="52" t="s">
        <v>112</v>
      </c>
      <c r="C709" s="53">
        <v>5770.08</v>
      </c>
      <c r="D709" s="56">
        <v>4.189E-3</v>
      </c>
    </row>
    <row r="710" spans="1:4" ht="15.6" x14ac:dyDescent="0.3">
      <c r="A710" s="54" t="s">
        <v>21</v>
      </c>
      <c r="B710" s="52" t="s">
        <v>112</v>
      </c>
      <c r="C710" s="53">
        <v>5515.41</v>
      </c>
      <c r="D710" s="56">
        <v>4.0039999999999997E-3</v>
      </c>
    </row>
    <row r="711" spans="1:4" ht="15.6" x14ac:dyDescent="0.3">
      <c r="A711" s="54" t="s">
        <v>64</v>
      </c>
      <c r="B711" s="52" t="s">
        <v>112</v>
      </c>
      <c r="C711" s="53">
        <v>5145.74</v>
      </c>
      <c r="D711" s="56">
        <v>3.7359999999999997E-3</v>
      </c>
    </row>
    <row r="712" spans="1:4" ht="15.6" x14ac:dyDescent="0.3">
      <c r="A712" s="54" t="s">
        <v>25</v>
      </c>
      <c r="B712" s="52" t="s">
        <v>112</v>
      </c>
      <c r="C712" s="53">
        <v>5041.09</v>
      </c>
      <c r="D712" s="56">
        <v>3.6600000000000001E-3</v>
      </c>
    </row>
    <row r="713" spans="1:4" ht="15.6" x14ac:dyDescent="0.3">
      <c r="A713" s="54" t="s">
        <v>41</v>
      </c>
      <c r="B713" s="52" t="s">
        <v>112</v>
      </c>
      <c r="C713" s="53">
        <v>4664.2</v>
      </c>
      <c r="D713" s="56">
        <v>3.3860000000000001E-3</v>
      </c>
    </row>
    <row r="714" spans="1:4" ht="15.6" x14ac:dyDescent="0.3">
      <c r="A714" s="54" t="s">
        <v>161</v>
      </c>
      <c r="B714" s="52" t="s">
        <v>112</v>
      </c>
      <c r="C714" s="53">
        <v>4628.34</v>
      </c>
      <c r="D714" s="56">
        <v>3.3600000000000001E-3</v>
      </c>
    </row>
    <row r="715" spans="1:4" ht="15.6" x14ac:dyDescent="0.3">
      <c r="A715" s="54" t="s">
        <v>38</v>
      </c>
      <c r="B715" s="52" t="s">
        <v>112</v>
      </c>
      <c r="C715" s="53">
        <v>4434.8100000000004</v>
      </c>
      <c r="D715" s="56">
        <v>3.2200000000000002E-3</v>
      </c>
    </row>
    <row r="716" spans="1:4" ht="15.6" x14ac:dyDescent="0.3">
      <c r="A716" s="54" t="s">
        <v>130</v>
      </c>
      <c r="B716" s="52" t="s">
        <v>112</v>
      </c>
      <c r="C716" s="53">
        <v>4367.71</v>
      </c>
      <c r="D716" s="56">
        <v>3.1709999999999998E-3</v>
      </c>
    </row>
    <row r="717" spans="1:4" ht="15.6" x14ac:dyDescent="0.3">
      <c r="A717" s="54" t="s">
        <v>34</v>
      </c>
      <c r="B717" s="52" t="s">
        <v>112</v>
      </c>
      <c r="C717" s="53">
        <v>3935.62</v>
      </c>
      <c r="D717" s="56">
        <v>2.8570000000000002E-3</v>
      </c>
    </row>
    <row r="718" spans="1:4" ht="15.6" x14ac:dyDescent="0.3">
      <c r="A718" s="54" t="s">
        <v>74</v>
      </c>
      <c r="B718" s="52" t="s">
        <v>112</v>
      </c>
      <c r="C718" s="53">
        <v>3610.81</v>
      </c>
      <c r="D718" s="56">
        <v>2.6210000000000001E-3</v>
      </c>
    </row>
    <row r="719" spans="1:4" ht="15.6" x14ac:dyDescent="0.3">
      <c r="A719" s="54" t="s">
        <v>61</v>
      </c>
      <c r="B719" s="52" t="s">
        <v>112</v>
      </c>
      <c r="C719" s="53">
        <v>3385.97</v>
      </c>
      <c r="D719" s="56">
        <v>2.4580000000000001E-3</v>
      </c>
    </row>
    <row r="720" spans="1:4" ht="15.6" x14ac:dyDescent="0.3">
      <c r="A720" s="54" t="s">
        <v>26</v>
      </c>
      <c r="B720" s="52" t="s">
        <v>112</v>
      </c>
      <c r="C720" s="53">
        <v>2793.02</v>
      </c>
      <c r="D720" s="56">
        <v>2.0280000000000003E-3</v>
      </c>
    </row>
    <row r="721" spans="1:4" ht="15.6" x14ac:dyDescent="0.3">
      <c r="A721" s="54" t="s">
        <v>39</v>
      </c>
      <c r="B721" s="52" t="s">
        <v>112</v>
      </c>
      <c r="C721" s="53">
        <v>2779.38</v>
      </c>
      <c r="D721" s="56">
        <v>2.0180000000000003E-3</v>
      </c>
    </row>
    <row r="722" spans="1:4" ht="15.6" x14ac:dyDescent="0.3">
      <c r="A722" s="54" t="s">
        <v>42</v>
      </c>
      <c r="B722" s="52" t="s">
        <v>112</v>
      </c>
      <c r="C722" s="53">
        <v>2455.5</v>
      </c>
      <c r="D722" s="56">
        <v>1.7829999999999999E-3</v>
      </c>
    </row>
    <row r="723" spans="1:4" ht="15.6" x14ac:dyDescent="0.3">
      <c r="A723" s="54" t="s">
        <v>51</v>
      </c>
      <c r="B723" s="52" t="s">
        <v>112</v>
      </c>
      <c r="C723" s="53">
        <v>2052.19</v>
      </c>
      <c r="D723" s="56">
        <v>1.49E-3</v>
      </c>
    </row>
    <row r="724" spans="1:4" ht="15.6" x14ac:dyDescent="0.3">
      <c r="A724" s="54" t="s">
        <v>47</v>
      </c>
      <c r="B724" s="52" t="s">
        <v>112</v>
      </c>
      <c r="C724" s="53">
        <v>1974.54</v>
      </c>
      <c r="D724" s="56">
        <v>1.433E-3</v>
      </c>
    </row>
    <row r="725" spans="1:4" ht="15.6" x14ac:dyDescent="0.3">
      <c r="A725" s="54" t="s">
        <v>40</v>
      </c>
      <c r="B725" s="52" t="s">
        <v>112</v>
      </c>
      <c r="C725" s="53">
        <v>1914.9</v>
      </c>
      <c r="D725" s="56">
        <v>1.3900000000000002E-3</v>
      </c>
    </row>
    <row r="726" spans="1:4" ht="15.6" x14ac:dyDescent="0.3">
      <c r="A726" s="54" t="s">
        <v>32</v>
      </c>
      <c r="B726" s="52" t="s">
        <v>112</v>
      </c>
      <c r="C726" s="53">
        <v>1899.75</v>
      </c>
      <c r="D726" s="56">
        <v>1.379E-3</v>
      </c>
    </row>
    <row r="727" spans="1:4" ht="15.6" x14ac:dyDescent="0.3">
      <c r="A727" s="54" t="s">
        <v>45</v>
      </c>
      <c r="B727" s="52" t="s">
        <v>112</v>
      </c>
      <c r="C727" s="53">
        <v>1871.67</v>
      </c>
      <c r="D727" s="56">
        <v>1.359E-3</v>
      </c>
    </row>
    <row r="728" spans="1:4" ht="15.6" x14ac:dyDescent="0.3">
      <c r="A728" s="54" t="s">
        <v>43</v>
      </c>
      <c r="B728" s="52" t="s">
        <v>112</v>
      </c>
      <c r="C728" s="53">
        <v>1513.23</v>
      </c>
      <c r="D728" s="56">
        <v>1.0989999999999999E-3</v>
      </c>
    </row>
    <row r="729" spans="1:4" ht="15.6" x14ac:dyDescent="0.3">
      <c r="A729" s="54" t="s">
        <v>37</v>
      </c>
      <c r="B729" s="52" t="s">
        <v>112</v>
      </c>
      <c r="C729" s="53">
        <v>1209.51</v>
      </c>
      <c r="D729" s="56">
        <v>8.7799999999999998E-4</v>
      </c>
    </row>
    <row r="730" spans="1:4" ht="15.6" x14ac:dyDescent="0.3">
      <c r="A730" s="54" t="s">
        <v>84</v>
      </c>
      <c r="B730" s="52" t="s">
        <v>112</v>
      </c>
      <c r="C730" s="53">
        <v>1137.6400000000001</v>
      </c>
      <c r="D730" s="56">
        <v>8.2600000000000002E-4</v>
      </c>
    </row>
    <row r="731" spans="1:4" ht="15.6" x14ac:dyDescent="0.3">
      <c r="A731" s="54" t="s">
        <v>96</v>
      </c>
      <c r="B731" s="52" t="s">
        <v>112</v>
      </c>
      <c r="C731" s="53">
        <v>1137.6199999999999</v>
      </c>
      <c r="D731" s="56">
        <v>8.2600000000000002E-4</v>
      </c>
    </row>
    <row r="732" spans="1:4" ht="15.6" x14ac:dyDescent="0.3">
      <c r="A732" s="54" t="s">
        <v>35</v>
      </c>
      <c r="B732" s="52" t="s">
        <v>112</v>
      </c>
      <c r="C732" s="53">
        <v>1048.05</v>
      </c>
      <c r="D732" s="56">
        <v>7.6099999999999996E-4</v>
      </c>
    </row>
    <row r="733" spans="1:4" ht="15.6" x14ac:dyDescent="0.3">
      <c r="A733" s="54" t="s">
        <v>18</v>
      </c>
      <c r="B733" s="52" t="s">
        <v>112</v>
      </c>
      <c r="C733" s="53">
        <v>1046.03</v>
      </c>
      <c r="D733" s="56">
        <v>7.5899999999999991E-4</v>
      </c>
    </row>
    <row r="734" spans="1:4" ht="15.6" x14ac:dyDescent="0.3">
      <c r="A734" s="54" t="s">
        <v>50</v>
      </c>
      <c r="B734" s="52" t="s">
        <v>112</v>
      </c>
      <c r="C734" s="53">
        <v>1032.6600000000001</v>
      </c>
      <c r="D734" s="56">
        <v>7.5000000000000002E-4</v>
      </c>
    </row>
    <row r="735" spans="1:4" ht="15.6" x14ac:dyDescent="0.3">
      <c r="A735" s="54" t="s">
        <v>63</v>
      </c>
      <c r="B735" s="52" t="s">
        <v>112</v>
      </c>
      <c r="C735" s="53">
        <v>914.43</v>
      </c>
      <c r="D735" s="56">
        <v>6.6399999999999999E-4</v>
      </c>
    </row>
    <row r="736" spans="1:4" ht="15.6" x14ac:dyDescent="0.3">
      <c r="A736" s="54" t="s">
        <v>54</v>
      </c>
      <c r="B736" s="52" t="s">
        <v>112</v>
      </c>
      <c r="C736" s="53">
        <v>792.07</v>
      </c>
      <c r="D736" s="56">
        <v>5.7499999999999999E-4</v>
      </c>
    </row>
    <row r="737" spans="1:4" ht="15.6" x14ac:dyDescent="0.3">
      <c r="A737" s="54" t="s">
        <v>83</v>
      </c>
      <c r="B737" s="52" t="s">
        <v>112</v>
      </c>
      <c r="C737" s="53">
        <v>722.69</v>
      </c>
      <c r="D737" s="56">
        <v>5.2499999999999997E-4</v>
      </c>
    </row>
    <row r="738" spans="1:4" ht="15.6" x14ac:dyDescent="0.3">
      <c r="A738" s="54" t="s">
        <v>91</v>
      </c>
      <c r="B738" s="52" t="s">
        <v>112</v>
      </c>
      <c r="C738" s="53">
        <v>639.99</v>
      </c>
      <c r="D738" s="56">
        <v>4.6499999999999997E-4</v>
      </c>
    </row>
    <row r="739" spans="1:4" ht="15.6" x14ac:dyDescent="0.3">
      <c r="A739" s="54" t="s">
        <v>23</v>
      </c>
      <c r="B739" s="52" t="s">
        <v>112</v>
      </c>
      <c r="C739" s="53">
        <v>606.84</v>
      </c>
      <c r="D739" s="56">
        <v>4.4099999999999999E-4</v>
      </c>
    </row>
    <row r="740" spans="1:4" ht="15.6" x14ac:dyDescent="0.3">
      <c r="A740" s="54" t="s">
        <v>31</v>
      </c>
      <c r="B740" s="52" t="s">
        <v>112</v>
      </c>
      <c r="C740" s="53">
        <v>564.71</v>
      </c>
      <c r="D740" s="56">
        <v>4.0999999999999999E-4</v>
      </c>
    </row>
    <row r="741" spans="1:4" ht="15.6" x14ac:dyDescent="0.3">
      <c r="A741" s="54" t="s">
        <v>55</v>
      </c>
      <c r="B741" s="52" t="s">
        <v>112</v>
      </c>
      <c r="C741" s="53">
        <v>551.32000000000005</v>
      </c>
      <c r="D741" s="56">
        <v>4.0000000000000002E-4</v>
      </c>
    </row>
    <row r="742" spans="1:4" ht="15.6" x14ac:dyDescent="0.3">
      <c r="A742" s="54" t="s">
        <v>60</v>
      </c>
      <c r="B742" s="52" t="s">
        <v>112</v>
      </c>
      <c r="C742" s="53">
        <v>472.91</v>
      </c>
      <c r="D742" s="56">
        <v>3.4299999999999999E-4</v>
      </c>
    </row>
    <row r="743" spans="1:4" ht="15.6" x14ac:dyDescent="0.3">
      <c r="A743" s="54" t="s">
        <v>46</v>
      </c>
      <c r="B743" s="52" t="s">
        <v>112</v>
      </c>
      <c r="C743" s="53">
        <v>430.23</v>
      </c>
      <c r="D743" s="56">
        <v>3.1199999999999999E-4</v>
      </c>
    </row>
    <row r="744" spans="1:4" ht="15.6" x14ac:dyDescent="0.3">
      <c r="A744" s="54" t="s">
        <v>28</v>
      </c>
      <c r="B744" s="52" t="s">
        <v>112</v>
      </c>
      <c r="C744" s="53">
        <v>408.82</v>
      </c>
      <c r="D744" s="56">
        <v>2.9700000000000001E-4</v>
      </c>
    </row>
    <row r="745" spans="1:4" ht="15.6" x14ac:dyDescent="0.3">
      <c r="A745" s="54" t="s">
        <v>58</v>
      </c>
      <c r="B745" s="52" t="s">
        <v>112</v>
      </c>
      <c r="C745" s="53">
        <v>406.14</v>
      </c>
      <c r="D745" s="56">
        <v>2.9499999999999996E-4</v>
      </c>
    </row>
    <row r="746" spans="1:4" ht="15.6" x14ac:dyDescent="0.3">
      <c r="A746" s="54" t="s">
        <v>53</v>
      </c>
      <c r="B746" s="52" t="s">
        <v>112</v>
      </c>
      <c r="C746" s="53">
        <v>365.46</v>
      </c>
      <c r="D746" s="56">
        <v>2.6499999999999999E-4</v>
      </c>
    </row>
    <row r="747" spans="1:4" ht="15.6" x14ac:dyDescent="0.3">
      <c r="A747" s="54" t="s">
        <v>145</v>
      </c>
      <c r="B747" s="52" t="s">
        <v>112</v>
      </c>
      <c r="C747" s="53">
        <v>336.03</v>
      </c>
      <c r="D747" s="56">
        <v>2.4400000000000002E-4</v>
      </c>
    </row>
    <row r="748" spans="1:4" ht="15.6" x14ac:dyDescent="0.3">
      <c r="A748" s="54" t="s">
        <v>33</v>
      </c>
      <c r="B748" s="52" t="s">
        <v>112</v>
      </c>
      <c r="C748" s="53">
        <v>271.64</v>
      </c>
      <c r="D748" s="56">
        <v>1.9699999999999999E-4</v>
      </c>
    </row>
    <row r="749" spans="1:4" ht="15.6" x14ac:dyDescent="0.3">
      <c r="A749" s="54" t="s">
        <v>162</v>
      </c>
      <c r="B749" s="52" t="s">
        <v>112</v>
      </c>
      <c r="C749" s="53">
        <v>268.38</v>
      </c>
      <c r="D749" s="56">
        <v>1.95E-4</v>
      </c>
    </row>
    <row r="750" spans="1:4" ht="15.6" x14ac:dyDescent="0.3">
      <c r="A750" s="54" t="s">
        <v>44</v>
      </c>
      <c r="B750" s="52" t="s">
        <v>112</v>
      </c>
      <c r="C750" s="53">
        <v>173.99</v>
      </c>
      <c r="D750" s="56">
        <v>1.26E-4</v>
      </c>
    </row>
    <row r="751" spans="1:4" ht="15.6" x14ac:dyDescent="0.3">
      <c r="A751" s="54" t="s">
        <v>133</v>
      </c>
      <c r="B751" s="52" t="s">
        <v>112</v>
      </c>
      <c r="C751" s="53">
        <v>153.9</v>
      </c>
      <c r="D751" s="56">
        <v>1.12E-4</v>
      </c>
    </row>
    <row r="752" spans="1:4" ht="15.6" x14ac:dyDescent="0.3">
      <c r="A752" s="54" t="s">
        <v>81</v>
      </c>
      <c r="B752" s="52" t="s">
        <v>112</v>
      </c>
      <c r="C752" s="53">
        <v>152.36000000000001</v>
      </c>
      <c r="D752" s="56">
        <v>1.11E-4</v>
      </c>
    </row>
    <row r="753" spans="1:4" ht="15.6" x14ac:dyDescent="0.3">
      <c r="A753" s="54" t="s">
        <v>164</v>
      </c>
      <c r="B753" s="52" t="s">
        <v>112</v>
      </c>
      <c r="C753" s="53">
        <v>146.52000000000001</v>
      </c>
      <c r="D753" s="56">
        <v>1.06E-4</v>
      </c>
    </row>
    <row r="754" spans="1:4" ht="15.6" x14ac:dyDescent="0.3">
      <c r="A754" s="54" t="s">
        <v>62</v>
      </c>
      <c r="B754" s="52" t="s">
        <v>112</v>
      </c>
      <c r="C754" s="53">
        <v>141.28</v>
      </c>
      <c r="D754" s="56">
        <v>1.03E-4</v>
      </c>
    </row>
    <row r="755" spans="1:4" ht="15.6" x14ac:dyDescent="0.3">
      <c r="A755" s="54" t="s">
        <v>94</v>
      </c>
      <c r="B755" s="52" t="s">
        <v>112</v>
      </c>
      <c r="C755" s="53">
        <v>88.42</v>
      </c>
      <c r="D755" s="56">
        <v>6.3999999999999997E-5</v>
      </c>
    </row>
    <row r="756" spans="1:4" ht="15.6" x14ac:dyDescent="0.3">
      <c r="A756" s="54" t="s">
        <v>66</v>
      </c>
      <c r="B756" s="52" t="s">
        <v>112</v>
      </c>
      <c r="C756" s="53">
        <v>86.32</v>
      </c>
      <c r="D756" s="56">
        <v>6.3E-5</v>
      </c>
    </row>
    <row r="757" spans="1:4" ht="15.6" x14ac:dyDescent="0.3">
      <c r="A757" s="54" t="s">
        <v>93</v>
      </c>
      <c r="B757" s="52" t="s">
        <v>112</v>
      </c>
      <c r="C757" s="53">
        <v>79.8</v>
      </c>
      <c r="D757" s="56">
        <v>5.7999999999999994E-5</v>
      </c>
    </row>
    <row r="758" spans="1:4" ht="15.6" x14ac:dyDescent="0.3">
      <c r="A758" s="54" t="s">
        <v>85</v>
      </c>
      <c r="B758" s="52" t="s">
        <v>112</v>
      </c>
      <c r="C758" s="53">
        <v>75.900000000000006</v>
      </c>
      <c r="D758" s="56">
        <v>5.4999999999999995E-5</v>
      </c>
    </row>
    <row r="759" spans="1:4" ht="15.6" x14ac:dyDescent="0.3">
      <c r="A759" s="54" t="s">
        <v>37</v>
      </c>
      <c r="B759" s="52" t="s">
        <v>112</v>
      </c>
      <c r="C759" s="53">
        <v>74.88</v>
      </c>
      <c r="D759" s="56">
        <v>5.4000000000000005E-5</v>
      </c>
    </row>
    <row r="760" spans="1:4" ht="15.6" x14ac:dyDescent="0.3">
      <c r="A760" s="54" t="s">
        <v>78</v>
      </c>
      <c r="B760" s="52" t="s">
        <v>112</v>
      </c>
      <c r="C760" s="53">
        <v>63.6</v>
      </c>
      <c r="D760" s="56">
        <v>4.6E-5</v>
      </c>
    </row>
    <row r="761" spans="1:4" ht="15.6" x14ac:dyDescent="0.3">
      <c r="A761" s="54" t="s">
        <v>80</v>
      </c>
      <c r="B761" s="52" t="s">
        <v>112</v>
      </c>
      <c r="C761" s="53">
        <v>60.64</v>
      </c>
      <c r="D761" s="56">
        <v>4.4000000000000006E-5</v>
      </c>
    </row>
    <row r="762" spans="1:4" ht="15.6" x14ac:dyDescent="0.3">
      <c r="A762" s="54" t="s">
        <v>52</v>
      </c>
      <c r="B762" s="52" t="s">
        <v>112</v>
      </c>
      <c r="C762" s="53">
        <v>56.61</v>
      </c>
      <c r="D762" s="56">
        <v>4.1E-5</v>
      </c>
    </row>
    <row r="763" spans="1:4" ht="15.6" x14ac:dyDescent="0.3">
      <c r="A763" s="54" t="s">
        <v>88</v>
      </c>
      <c r="B763" s="52" t="s">
        <v>112</v>
      </c>
      <c r="C763" s="53">
        <v>55.02</v>
      </c>
      <c r="D763" s="56">
        <v>4.0000000000000003E-5</v>
      </c>
    </row>
    <row r="764" spans="1:4" ht="15.6" x14ac:dyDescent="0.3">
      <c r="A764" s="54" t="s">
        <v>79</v>
      </c>
      <c r="B764" s="52" t="s">
        <v>112</v>
      </c>
      <c r="C764" s="53">
        <v>52.82</v>
      </c>
      <c r="D764" s="56">
        <v>3.8000000000000002E-5</v>
      </c>
    </row>
    <row r="765" spans="1:4" ht="15.6" x14ac:dyDescent="0.3">
      <c r="A765" s="54" t="s">
        <v>67</v>
      </c>
      <c r="B765" s="52" t="s">
        <v>112</v>
      </c>
      <c r="C765" s="53">
        <v>40.520000000000003</v>
      </c>
      <c r="D765" s="56">
        <v>2.8999999999999997E-5</v>
      </c>
    </row>
    <row r="766" spans="1:4" ht="15.6" x14ac:dyDescent="0.3">
      <c r="A766" s="54" t="s">
        <v>22</v>
      </c>
      <c r="B766" s="52" t="s">
        <v>112</v>
      </c>
      <c r="C766" s="53">
        <v>37.14</v>
      </c>
      <c r="D766" s="56">
        <v>2.7000000000000002E-5</v>
      </c>
    </row>
    <row r="767" spans="1:4" ht="15.6" x14ac:dyDescent="0.3">
      <c r="A767" s="54" t="s">
        <v>65</v>
      </c>
      <c r="B767" s="52" t="s">
        <v>112</v>
      </c>
      <c r="C767" s="53">
        <v>34.15</v>
      </c>
      <c r="D767" s="56">
        <v>2.5000000000000001E-5</v>
      </c>
    </row>
    <row r="768" spans="1:4" ht="15.6" x14ac:dyDescent="0.3">
      <c r="A768" s="54" t="s">
        <v>68</v>
      </c>
      <c r="B768" s="52" t="s">
        <v>112</v>
      </c>
      <c r="C768" s="53">
        <v>30.68</v>
      </c>
      <c r="D768" s="56">
        <v>2.2000000000000003E-5</v>
      </c>
    </row>
    <row r="769" spans="1:4" ht="15.6" x14ac:dyDescent="0.3">
      <c r="A769" s="54" t="s">
        <v>149</v>
      </c>
      <c r="B769" s="52" t="s">
        <v>112</v>
      </c>
      <c r="C769" s="53">
        <v>19.62</v>
      </c>
      <c r="D769" s="56">
        <v>1.4E-5</v>
      </c>
    </row>
    <row r="770" spans="1:4" ht="15.6" x14ac:dyDescent="0.3">
      <c r="A770" s="54" t="s">
        <v>86</v>
      </c>
      <c r="B770" s="52" t="s">
        <v>112</v>
      </c>
      <c r="C770" s="53">
        <v>14.62</v>
      </c>
      <c r="D770" s="56">
        <v>1.1000000000000001E-5</v>
      </c>
    </row>
    <row r="771" spans="1:4" ht="15.6" x14ac:dyDescent="0.3">
      <c r="A771" s="54" t="s">
        <v>1</v>
      </c>
      <c r="B771" s="52" t="s">
        <v>113</v>
      </c>
      <c r="C771" s="53">
        <v>203385.01</v>
      </c>
      <c r="D771" s="56">
        <v>0.14559</v>
      </c>
    </row>
    <row r="772" spans="1:4" ht="15.6" x14ac:dyDescent="0.3">
      <c r="A772" s="54" t="s">
        <v>4</v>
      </c>
      <c r="B772" s="52" t="s">
        <v>113</v>
      </c>
      <c r="C772" s="53">
        <v>153202.78</v>
      </c>
      <c r="D772" s="56">
        <v>0.10966799999999999</v>
      </c>
    </row>
    <row r="773" spans="1:4" ht="15.6" x14ac:dyDescent="0.3">
      <c r="A773" s="54" t="s">
        <v>0</v>
      </c>
      <c r="B773" s="52" t="s">
        <v>113</v>
      </c>
      <c r="C773" s="53">
        <v>150500.81</v>
      </c>
      <c r="D773" s="56">
        <v>0.10773400000000001</v>
      </c>
    </row>
    <row r="774" spans="1:4" ht="15.6" x14ac:dyDescent="0.3">
      <c r="A774" s="54" t="s">
        <v>2</v>
      </c>
      <c r="B774" s="52" t="s">
        <v>113</v>
      </c>
      <c r="C774" s="53">
        <v>100603.61</v>
      </c>
      <c r="D774" s="56">
        <v>7.2015999999999997E-2</v>
      </c>
    </row>
    <row r="775" spans="1:4" ht="15.6" x14ac:dyDescent="0.3">
      <c r="A775" s="54" t="s">
        <v>8</v>
      </c>
      <c r="B775" s="52" t="s">
        <v>113</v>
      </c>
      <c r="C775" s="53">
        <v>96221.95</v>
      </c>
      <c r="D775" s="56">
        <v>6.8878999999999996E-2</v>
      </c>
    </row>
    <row r="776" spans="1:4" ht="15.6" x14ac:dyDescent="0.3">
      <c r="A776" s="54" t="s">
        <v>6</v>
      </c>
      <c r="B776" s="52" t="s">
        <v>113</v>
      </c>
      <c r="C776" s="53">
        <v>78186.25</v>
      </c>
      <c r="D776" s="56">
        <v>5.5967999999999997E-2</v>
      </c>
    </row>
    <row r="777" spans="1:4" ht="15.6" x14ac:dyDescent="0.3">
      <c r="A777" s="54" t="s">
        <v>3</v>
      </c>
      <c r="B777" s="52" t="s">
        <v>113</v>
      </c>
      <c r="C777" s="53">
        <v>77598.460000000006</v>
      </c>
      <c r="D777" s="56">
        <v>5.5548E-2</v>
      </c>
    </row>
    <row r="778" spans="1:4" ht="15.6" x14ac:dyDescent="0.3">
      <c r="A778" s="54" t="s">
        <v>12</v>
      </c>
      <c r="B778" s="52" t="s">
        <v>113</v>
      </c>
      <c r="C778" s="53">
        <v>47851.5</v>
      </c>
      <c r="D778" s="56">
        <v>3.4254E-2</v>
      </c>
    </row>
    <row r="779" spans="1:4" ht="15.6" x14ac:dyDescent="0.3">
      <c r="A779" s="54" t="s">
        <v>160</v>
      </c>
      <c r="B779" s="52" t="s">
        <v>113</v>
      </c>
      <c r="C779" s="53">
        <v>44222.76</v>
      </c>
      <c r="D779" s="56">
        <v>3.1655999999999997E-2</v>
      </c>
    </row>
    <row r="780" spans="1:4" ht="15.6" x14ac:dyDescent="0.3">
      <c r="A780" s="54" t="s">
        <v>20</v>
      </c>
      <c r="B780" s="52" t="s">
        <v>113</v>
      </c>
      <c r="C780" s="53">
        <v>38361.019999999997</v>
      </c>
      <c r="D780" s="56">
        <v>2.7459999999999998E-2</v>
      </c>
    </row>
    <row r="781" spans="1:4" ht="15.6" x14ac:dyDescent="0.3">
      <c r="A781" s="54" t="s">
        <v>59</v>
      </c>
      <c r="B781" s="52" t="s">
        <v>113</v>
      </c>
      <c r="C781" s="53">
        <v>35852.51</v>
      </c>
      <c r="D781" s="56">
        <v>2.5663999999999999E-2</v>
      </c>
    </row>
    <row r="782" spans="1:4" ht="15.6" x14ac:dyDescent="0.3">
      <c r="A782" s="54" t="s">
        <v>7</v>
      </c>
      <c r="B782" s="52" t="s">
        <v>113</v>
      </c>
      <c r="C782" s="53">
        <v>30350.05</v>
      </c>
      <c r="D782" s="56">
        <v>2.1726000000000002E-2</v>
      </c>
    </row>
    <row r="783" spans="1:4" ht="15.6" x14ac:dyDescent="0.3">
      <c r="A783" s="54" t="s">
        <v>146</v>
      </c>
      <c r="B783" s="52" t="s">
        <v>113</v>
      </c>
      <c r="C783" s="53">
        <v>30327.07</v>
      </c>
      <c r="D783" s="56">
        <v>2.1708999999999999E-2</v>
      </c>
    </row>
    <row r="784" spans="1:4" ht="15.6" x14ac:dyDescent="0.3">
      <c r="A784" s="54" t="s">
        <v>13</v>
      </c>
      <c r="B784" s="52" t="s">
        <v>113</v>
      </c>
      <c r="C784" s="53">
        <v>28746.14</v>
      </c>
      <c r="D784" s="56">
        <v>2.0577000000000002E-2</v>
      </c>
    </row>
    <row r="785" spans="1:4" ht="15.6" x14ac:dyDescent="0.3">
      <c r="A785" s="54" t="s">
        <v>14</v>
      </c>
      <c r="B785" s="52" t="s">
        <v>113</v>
      </c>
      <c r="C785" s="53">
        <v>28078.69</v>
      </c>
      <c r="D785" s="56">
        <v>2.0099999999999996E-2</v>
      </c>
    </row>
    <row r="786" spans="1:4" ht="15.6" x14ac:dyDescent="0.3">
      <c r="A786" s="54" t="s">
        <v>10</v>
      </c>
      <c r="B786" s="52" t="s">
        <v>113</v>
      </c>
      <c r="C786" s="53">
        <v>24991.33</v>
      </c>
      <c r="D786" s="56">
        <v>1.789E-2</v>
      </c>
    </row>
    <row r="787" spans="1:4" ht="15.6" x14ac:dyDescent="0.3">
      <c r="A787" s="54" t="s">
        <v>159</v>
      </c>
      <c r="B787" s="52" t="s">
        <v>113</v>
      </c>
      <c r="C787" s="53">
        <v>23495.47</v>
      </c>
      <c r="D787" s="56">
        <v>1.6819000000000001E-2</v>
      </c>
    </row>
    <row r="788" spans="1:4" ht="15.6" x14ac:dyDescent="0.3">
      <c r="A788" s="54" t="s">
        <v>9</v>
      </c>
      <c r="B788" s="52" t="s">
        <v>113</v>
      </c>
      <c r="C788" s="53">
        <v>21457.22</v>
      </c>
      <c r="D788" s="56">
        <v>1.536E-2</v>
      </c>
    </row>
    <row r="789" spans="1:4" ht="15.6" x14ac:dyDescent="0.3">
      <c r="A789" s="54" t="s">
        <v>19</v>
      </c>
      <c r="B789" s="52" t="s">
        <v>113</v>
      </c>
      <c r="C789" s="53">
        <v>20968.03</v>
      </c>
      <c r="D789" s="56">
        <v>1.5009999999999999E-2</v>
      </c>
    </row>
    <row r="790" spans="1:4" ht="15.6" x14ac:dyDescent="0.3">
      <c r="A790" s="54" t="s">
        <v>11</v>
      </c>
      <c r="B790" s="52" t="s">
        <v>113</v>
      </c>
      <c r="C790" s="53">
        <v>18720.7</v>
      </c>
      <c r="D790" s="56">
        <v>1.3401000000000001E-2</v>
      </c>
    </row>
    <row r="791" spans="1:4" ht="15.6" x14ac:dyDescent="0.3">
      <c r="A791" s="54" t="s">
        <v>16</v>
      </c>
      <c r="B791" s="52" t="s">
        <v>113</v>
      </c>
      <c r="C791" s="53">
        <v>15570.5</v>
      </c>
      <c r="D791" s="56">
        <v>1.1146E-2</v>
      </c>
    </row>
    <row r="792" spans="1:4" ht="15.6" x14ac:dyDescent="0.3">
      <c r="A792" s="54" t="s">
        <v>17</v>
      </c>
      <c r="B792" s="52" t="s">
        <v>113</v>
      </c>
      <c r="C792" s="53">
        <v>14552.57</v>
      </c>
      <c r="D792" s="56">
        <v>1.0417000000000001E-2</v>
      </c>
    </row>
    <row r="793" spans="1:4" ht="15.6" x14ac:dyDescent="0.3">
      <c r="A793" s="54" t="s">
        <v>15</v>
      </c>
      <c r="B793" s="52" t="s">
        <v>113</v>
      </c>
      <c r="C793" s="53">
        <v>13471.58</v>
      </c>
      <c r="D793" s="56">
        <v>9.6430000000000005E-3</v>
      </c>
    </row>
    <row r="794" spans="1:4" ht="15.6" x14ac:dyDescent="0.3">
      <c r="A794" s="54" t="s">
        <v>5</v>
      </c>
      <c r="B794" s="52" t="s">
        <v>113</v>
      </c>
      <c r="C794" s="53">
        <v>10447.81</v>
      </c>
      <c r="D794" s="56">
        <v>7.4790000000000004E-3</v>
      </c>
    </row>
    <row r="795" spans="1:4" ht="15.6" x14ac:dyDescent="0.3">
      <c r="A795" s="54" t="s">
        <v>26</v>
      </c>
      <c r="B795" s="52" t="s">
        <v>113</v>
      </c>
      <c r="C795" s="53">
        <v>6151.22</v>
      </c>
      <c r="D795" s="56">
        <v>4.4030000000000007E-3</v>
      </c>
    </row>
    <row r="796" spans="1:4" ht="15.6" x14ac:dyDescent="0.3">
      <c r="A796" s="54" t="s">
        <v>25</v>
      </c>
      <c r="B796" s="52" t="s">
        <v>113</v>
      </c>
      <c r="C796" s="53">
        <v>5682.06</v>
      </c>
      <c r="D796" s="56">
        <v>4.0670000000000003E-3</v>
      </c>
    </row>
    <row r="797" spans="1:4" ht="15.6" x14ac:dyDescent="0.3">
      <c r="A797" s="54" t="s">
        <v>56</v>
      </c>
      <c r="B797" s="52" t="s">
        <v>113</v>
      </c>
      <c r="C797" s="53">
        <v>5509.58</v>
      </c>
      <c r="D797" s="56">
        <v>3.9439999999999996E-3</v>
      </c>
    </row>
    <row r="798" spans="1:4" ht="15.6" x14ac:dyDescent="0.3">
      <c r="A798" s="54" t="s">
        <v>38</v>
      </c>
      <c r="B798" s="52" t="s">
        <v>113</v>
      </c>
      <c r="C798" s="53">
        <v>5025.2</v>
      </c>
      <c r="D798" s="56">
        <v>3.5970000000000004E-3</v>
      </c>
    </row>
    <row r="799" spans="1:4" ht="15.6" x14ac:dyDescent="0.3">
      <c r="A799" s="54" t="s">
        <v>21</v>
      </c>
      <c r="B799" s="52" t="s">
        <v>113</v>
      </c>
      <c r="C799" s="53">
        <v>4832.95</v>
      </c>
      <c r="D799" s="56">
        <v>3.4599999999999995E-3</v>
      </c>
    </row>
    <row r="800" spans="1:4" ht="15.6" x14ac:dyDescent="0.3">
      <c r="A800" s="54" t="s">
        <v>29</v>
      </c>
      <c r="B800" s="52" t="s">
        <v>113</v>
      </c>
      <c r="C800" s="53">
        <v>4775.13</v>
      </c>
      <c r="D800" s="56">
        <v>3.418E-3</v>
      </c>
    </row>
    <row r="801" spans="1:4" ht="15.6" x14ac:dyDescent="0.3">
      <c r="A801" s="54" t="s">
        <v>165</v>
      </c>
      <c r="B801" s="52" t="s">
        <v>113</v>
      </c>
      <c r="C801" s="53">
        <v>4492.34</v>
      </c>
      <c r="D801" s="56">
        <v>3.2160000000000001E-3</v>
      </c>
    </row>
    <row r="802" spans="1:4" ht="15.6" x14ac:dyDescent="0.3">
      <c r="A802" s="54" t="s">
        <v>42</v>
      </c>
      <c r="B802" s="52" t="s">
        <v>113</v>
      </c>
      <c r="C802" s="53">
        <v>4407.5</v>
      </c>
      <c r="D802" s="56">
        <v>3.1549999999999998E-3</v>
      </c>
    </row>
    <row r="803" spans="1:4" ht="15.6" x14ac:dyDescent="0.3">
      <c r="A803" s="54" t="s">
        <v>39</v>
      </c>
      <c r="B803" s="52" t="s">
        <v>113</v>
      </c>
      <c r="C803" s="53">
        <v>4023.35</v>
      </c>
      <c r="D803" s="56">
        <v>2.8799999999999997E-3</v>
      </c>
    </row>
    <row r="804" spans="1:4" ht="15.6" x14ac:dyDescent="0.3">
      <c r="A804" s="54" t="s">
        <v>23</v>
      </c>
      <c r="B804" s="52" t="s">
        <v>113</v>
      </c>
      <c r="C804" s="53">
        <v>3686.69</v>
      </c>
      <c r="D804" s="56">
        <v>2.6390000000000003E-3</v>
      </c>
    </row>
    <row r="805" spans="1:4" ht="15.6" x14ac:dyDescent="0.3">
      <c r="A805" s="54" t="s">
        <v>74</v>
      </c>
      <c r="B805" s="52" t="s">
        <v>113</v>
      </c>
      <c r="C805" s="53">
        <v>2953.37</v>
      </c>
      <c r="D805" s="56">
        <v>2.114E-3</v>
      </c>
    </row>
    <row r="806" spans="1:4" ht="15.6" x14ac:dyDescent="0.3">
      <c r="A806" s="54" t="s">
        <v>31</v>
      </c>
      <c r="B806" s="52" t="s">
        <v>113</v>
      </c>
      <c r="C806" s="53">
        <v>2815.48</v>
      </c>
      <c r="D806" s="56">
        <v>2.0150000000000003E-3</v>
      </c>
    </row>
    <row r="807" spans="1:4" ht="15.6" x14ac:dyDescent="0.3">
      <c r="A807" s="54" t="s">
        <v>130</v>
      </c>
      <c r="B807" s="52" t="s">
        <v>113</v>
      </c>
      <c r="C807" s="53">
        <v>2500.1999999999998</v>
      </c>
      <c r="D807" s="56">
        <v>1.7899999999999999E-3</v>
      </c>
    </row>
    <row r="808" spans="1:4" ht="15.6" x14ac:dyDescent="0.3">
      <c r="A808" s="54" t="s">
        <v>47</v>
      </c>
      <c r="B808" s="52" t="s">
        <v>113</v>
      </c>
      <c r="C808" s="53">
        <v>2423.11</v>
      </c>
      <c r="D808" s="56">
        <v>1.7349999999999998E-3</v>
      </c>
    </row>
    <row r="809" spans="1:4" ht="15.6" x14ac:dyDescent="0.3">
      <c r="A809" s="54" t="s">
        <v>41</v>
      </c>
      <c r="B809" s="52" t="s">
        <v>113</v>
      </c>
      <c r="C809" s="53">
        <v>2374.09</v>
      </c>
      <c r="D809" s="56">
        <v>1.699E-3</v>
      </c>
    </row>
    <row r="810" spans="1:4" ht="15.6" x14ac:dyDescent="0.3">
      <c r="A810" s="54" t="s">
        <v>32</v>
      </c>
      <c r="B810" s="52" t="s">
        <v>113</v>
      </c>
      <c r="C810" s="53">
        <v>2018.36</v>
      </c>
      <c r="D810" s="56">
        <v>1.4449999999999999E-3</v>
      </c>
    </row>
    <row r="811" spans="1:4" ht="15.6" x14ac:dyDescent="0.3">
      <c r="A811" s="54" t="s">
        <v>145</v>
      </c>
      <c r="B811" s="52" t="s">
        <v>113</v>
      </c>
      <c r="C811" s="53">
        <v>1761.93</v>
      </c>
      <c r="D811" s="56">
        <v>1.261E-3</v>
      </c>
    </row>
    <row r="812" spans="1:4" ht="15.6" x14ac:dyDescent="0.3">
      <c r="A812" s="54" t="s">
        <v>18</v>
      </c>
      <c r="B812" s="52" t="s">
        <v>113</v>
      </c>
      <c r="C812" s="53">
        <v>1644.89</v>
      </c>
      <c r="D812" s="56">
        <v>1.1770000000000001E-3</v>
      </c>
    </row>
    <row r="813" spans="1:4" ht="15.6" x14ac:dyDescent="0.3">
      <c r="A813" s="54" t="s">
        <v>54</v>
      </c>
      <c r="B813" s="52" t="s">
        <v>113</v>
      </c>
      <c r="C813" s="53">
        <v>1618.44</v>
      </c>
      <c r="D813" s="56">
        <v>1.1590000000000001E-3</v>
      </c>
    </row>
    <row r="814" spans="1:4" ht="15.6" x14ac:dyDescent="0.3">
      <c r="A814" s="54" t="s">
        <v>30</v>
      </c>
      <c r="B814" s="52" t="s">
        <v>113</v>
      </c>
      <c r="C814" s="53">
        <v>1586.55</v>
      </c>
      <c r="D814" s="56">
        <v>1.1360000000000001E-3</v>
      </c>
    </row>
    <row r="815" spans="1:4" ht="15.6" x14ac:dyDescent="0.3">
      <c r="A815" s="54" t="s">
        <v>37</v>
      </c>
      <c r="B815" s="52" t="s">
        <v>113</v>
      </c>
      <c r="C815" s="53">
        <v>1425.33</v>
      </c>
      <c r="D815" s="56">
        <v>1.0199999999999999E-3</v>
      </c>
    </row>
    <row r="816" spans="1:4" ht="15.6" x14ac:dyDescent="0.3">
      <c r="A816" s="54" t="s">
        <v>40</v>
      </c>
      <c r="B816" s="52" t="s">
        <v>113</v>
      </c>
      <c r="C816" s="53">
        <v>1258.78</v>
      </c>
      <c r="D816" s="56">
        <v>9.01E-4</v>
      </c>
    </row>
    <row r="817" spans="1:4" ht="15.6" x14ac:dyDescent="0.3">
      <c r="A817" s="54" t="s">
        <v>63</v>
      </c>
      <c r="B817" s="52" t="s">
        <v>113</v>
      </c>
      <c r="C817" s="53">
        <v>1059.79</v>
      </c>
      <c r="D817" s="56">
        <v>7.5899999999999991E-4</v>
      </c>
    </row>
    <row r="818" spans="1:4" ht="15.6" x14ac:dyDescent="0.3">
      <c r="A818" s="54" t="s">
        <v>46</v>
      </c>
      <c r="B818" s="52" t="s">
        <v>113</v>
      </c>
      <c r="C818" s="53">
        <v>1004.94</v>
      </c>
      <c r="D818" s="56">
        <v>7.1900000000000002E-4</v>
      </c>
    </row>
    <row r="819" spans="1:4" ht="15.6" x14ac:dyDescent="0.3">
      <c r="A819" s="54" t="s">
        <v>44</v>
      </c>
      <c r="B819" s="52" t="s">
        <v>113</v>
      </c>
      <c r="C819" s="53">
        <v>988.2</v>
      </c>
      <c r="D819" s="56">
        <v>7.0699999999999995E-4</v>
      </c>
    </row>
    <row r="820" spans="1:4" ht="15.6" x14ac:dyDescent="0.3">
      <c r="A820" s="54" t="s">
        <v>43</v>
      </c>
      <c r="B820" s="52" t="s">
        <v>113</v>
      </c>
      <c r="C820" s="53">
        <v>976.88</v>
      </c>
      <c r="D820" s="56">
        <v>6.9900000000000008E-4</v>
      </c>
    </row>
    <row r="821" spans="1:4" ht="15.6" x14ac:dyDescent="0.3">
      <c r="A821" s="54" t="s">
        <v>164</v>
      </c>
      <c r="B821" s="52" t="s">
        <v>113</v>
      </c>
      <c r="C821" s="53">
        <v>954.58</v>
      </c>
      <c r="D821" s="56">
        <v>6.8300000000000001E-4</v>
      </c>
    </row>
    <row r="822" spans="1:4" ht="15.6" x14ac:dyDescent="0.3">
      <c r="A822" s="54" t="s">
        <v>28</v>
      </c>
      <c r="B822" s="52" t="s">
        <v>113</v>
      </c>
      <c r="C822" s="53">
        <v>919.43</v>
      </c>
      <c r="D822" s="56">
        <v>6.5799999999999995E-4</v>
      </c>
    </row>
    <row r="823" spans="1:4" ht="15.6" x14ac:dyDescent="0.3">
      <c r="A823" s="54" t="s">
        <v>61</v>
      </c>
      <c r="B823" s="52" t="s">
        <v>113</v>
      </c>
      <c r="C823" s="53">
        <v>858.52</v>
      </c>
      <c r="D823" s="56">
        <v>6.1499999999999999E-4</v>
      </c>
    </row>
    <row r="824" spans="1:4" ht="15.6" x14ac:dyDescent="0.3">
      <c r="A824" s="54" t="s">
        <v>24</v>
      </c>
      <c r="B824" s="52" t="s">
        <v>113</v>
      </c>
      <c r="C824" s="53">
        <v>829.4</v>
      </c>
      <c r="D824" s="56">
        <v>5.9400000000000002E-4</v>
      </c>
    </row>
    <row r="825" spans="1:4" ht="15.6" x14ac:dyDescent="0.3">
      <c r="A825" s="54" t="s">
        <v>45</v>
      </c>
      <c r="B825" s="52" t="s">
        <v>113</v>
      </c>
      <c r="C825" s="53">
        <v>798.01</v>
      </c>
      <c r="D825" s="56">
        <v>5.71E-4</v>
      </c>
    </row>
    <row r="826" spans="1:4" ht="15.6" x14ac:dyDescent="0.3">
      <c r="A826" s="54" t="s">
        <v>51</v>
      </c>
      <c r="B826" s="52" t="s">
        <v>113</v>
      </c>
      <c r="C826" s="53">
        <v>771.5</v>
      </c>
      <c r="D826" s="56">
        <v>5.5199999999999997E-4</v>
      </c>
    </row>
    <row r="827" spans="1:4" ht="15.6" x14ac:dyDescent="0.3">
      <c r="A827" s="54" t="s">
        <v>50</v>
      </c>
      <c r="B827" s="52" t="s">
        <v>113</v>
      </c>
      <c r="C827" s="53">
        <v>724.64</v>
      </c>
      <c r="D827" s="56">
        <v>5.1900000000000004E-4</v>
      </c>
    </row>
    <row r="828" spans="1:4" ht="15.6" x14ac:dyDescent="0.3">
      <c r="A828" s="54" t="s">
        <v>75</v>
      </c>
      <c r="B828" s="52" t="s">
        <v>113</v>
      </c>
      <c r="C828" s="53">
        <v>674.2</v>
      </c>
      <c r="D828" s="56">
        <v>4.8300000000000003E-4</v>
      </c>
    </row>
    <row r="829" spans="1:4" ht="15.6" x14ac:dyDescent="0.3">
      <c r="A829" s="54" t="s">
        <v>83</v>
      </c>
      <c r="B829" s="52" t="s">
        <v>113</v>
      </c>
      <c r="C829" s="53">
        <v>644.12</v>
      </c>
      <c r="D829" s="56">
        <v>4.6100000000000004E-4</v>
      </c>
    </row>
    <row r="830" spans="1:4" ht="15.6" x14ac:dyDescent="0.3">
      <c r="A830" s="54" t="s">
        <v>161</v>
      </c>
      <c r="B830" s="52" t="s">
        <v>113</v>
      </c>
      <c r="C830" s="53">
        <v>604.05999999999995</v>
      </c>
      <c r="D830" s="56">
        <v>4.3200000000000004E-4</v>
      </c>
    </row>
    <row r="831" spans="1:4" ht="15.6" x14ac:dyDescent="0.3">
      <c r="A831" s="54" t="s">
        <v>27</v>
      </c>
      <c r="B831" s="52" t="s">
        <v>113</v>
      </c>
      <c r="C831" s="53">
        <v>563.97</v>
      </c>
      <c r="D831" s="56">
        <v>4.0400000000000001E-4</v>
      </c>
    </row>
    <row r="832" spans="1:4" ht="15.6" x14ac:dyDescent="0.3">
      <c r="A832" s="54" t="s">
        <v>76</v>
      </c>
      <c r="B832" s="52" t="s">
        <v>113</v>
      </c>
      <c r="C832" s="53">
        <v>560.64</v>
      </c>
      <c r="D832" s="56">
        <v>4.0099999999999999E-4</v>
      </c>
    </row>
    <row r="833" spans="1:4" ht="15.6" x14ac:dyDescent="0.3">
      <c r="A833" s="54" t="s">
        <v>81</v>
      </c>
      <c r="B833" s="52" t="s">
        <v>113</v>
      </c>
      <c r="C833" s="53">
        <v>427.48</v>
      </c>
      <c r="D833" s="56">
        <v>3.0600000000000001E-4</v>
      </c>
    </row>
    <row r="834" spans="1:4" ht="15.6" x14ac:dyDescent="0.3">
      <c r="A834" s="54" t="s">
        <v>35</v>
      </c>
      <c r="B834" s="52" t="s">
        <v>113</v>
      </c>
      <c r="C834" s="53">
        <v>410.31</v>
      </c>
      <c r="D834" s="56">
        <v>2.9399999999999999E-4</v>
      </c>
    </row>
    <row r="835" spans="1:4" ht="15.6" x14ac:dyDescent="0.3">
      <c r="A835" s="54" t="s">
        <v>84</v>
      </c>
      <c r="B835" s="52" t="s">
        <v>113</v>
      </c>
      <c r="C835" s="53">
        <v>389.98</v>
      </c>
      <c r="D835" s="56">
        <v>2.7900000000000001E-4</v>
      </c>
    </row>
    <row r="836" spans="1:4" ht="15.6" x14ac:dyDescent="0.3">
      <c r="A836" s="54" t="s">
        <v>68</v>
      </c>
      <c r="B836" s="52" t="s">
        <v>113</v>
      </c>
      <c r="C836" s="53">
        <v>370.02</v>
      </c>
      <c r="D836" s="56">
        <v>2.6499999999999999E-4</v>
      </c>
    </row>
    <row r="837" spans="1:4" ht="15.6" x14ac:dyDescent="0.3">
      <c r="A837" s="54" t="s">
        <v>64</v>
      </c>
      <c r="B837" s="52" t="s">
        <v>113</v>
      </c>
      <c r="C837" s="53">
        <v>252.94</v>
      </c>
      <c r="D837" s="56">
        <v>1.8100000000000001E-4</v>
      </c>
    </row>
    <row r="838" spans="1:4" ht="15.6" x14ac:dyDescent="0.3">
      <c r="A838" s="54" t="s">
        <v>55</v>
      </c>
      <c r="B838" s="52" t="s">
        <v>113</v>
      </c>
      <c r="C838" s="53">
        <v>235.8</v>
      </c>
      <c r="D838" s="56">
        <v>1.6899999999999999E-4</v>
      </c>
    </row>
    <row r="839" spans="1:4" ht="15.6" x14ac:dyDescent="0.3">
      <c r="A839" s="54" t="s">
        <v>60</v>
      </c>
      <c r="B839" s="52" t="s">
        <v>113</v>
      </c>
      <c r="C839" s="53">
        <v>192.86</v>
      </c>
      <c r="D839" s="56">
        <v>1.3799999999999999E-4</v>
      </c>
    </row>
    <row r="840" spans="1:4" ht="15.6" x14ac:dyDescent="0.3">
      <c r="A840" s="54" t="s">
        <v>53</v>
      </c>
      <c r="B840" s="52" t="s">
        <v>113</v>
      </c>
      <c r="C840" s="53">
        <v>190.7</v>
      </c>
      <c r="D840" s="56">
        <v>1.37E-4</v>
      </c>
    </row>
    <row r="841" spans="1:4" ht="15.6" x14ac:dyDescent="0.3">
      <c r="A841" s="54" t="s">
        <v>91</v>
      </c>
      <c r="B841" s="52" t="s">
        <v>113</v>
      </c>
      <c r="C841" s="53">
        <v>180.51</v>
      </c>
      <c r="D841" s="56">
        <v>1.2899999999999999E-4</v>
      </c>
    </row>
    <row r="842" spans="1:4" ht="15.6" x14ac:dyDescent="0.3">
      <c r="A842" s="54" t="s">
        <v>67</v>
      </c>
      <c r="B842" s="52" t="s">
        <v>113</v>
      </c>
      <c r="C842" s="53">
        <v>176.11</v>
      </c>
      <c r="D842" s="56">
        <v>1.26E-4</v>
      </c>
    </row>
    <row r="843" spans="1:4" ht="15.6" x14ac:dyDescent="0.3">
      <c r="A843" s="54" t="s">
        <v>166</v>
      </c>
      <c r="B843" s="52" t="s">
        <v>113</v>
      </c>
      <c r="C843" s="53">
        <v>173.42</v>
      </c>
      <c r="D843" s="56">
        <v>1.2400000000000001E-4</v>
      </c>
    </row>
    <row r="844" spans="1:4" ht="15.6" x14ac:dyDescent="0.3">
      <c r="A844" s="54" t="s">
        <v>62</v>
      </c>
      <c r="B844" s="52" t="s">
        <v>113</v>
      </c>
      <c r="C844" s="53">
        <v>155.47999999999999</v>
      </c>
      <c r="D844" s="56">
        <v>1.11E-4</v>
      </c>
    </row>
    <row r="845" spans="1:4" ht="15.6" x14ac:dyDescent="0.3">
      <c r="A845" s="54" t="s">
        <v>79</v>
      </c>
      <c r="B845" s="52" t="s">
        <v>113</v>
      </c>
      <c r="C845" s="53">
        <v>119.76</v>
      </c>
      <c r="D845" s="56">
        <v>8.6000000000000003E-5</v>
      </c>
    </row>
    <row r="846" spans="1:4" ht="15.6" x14ac:dyDescent="0.3">
      <c r="A846" s="54" t="s">
        <v>80</v>
      </c>
      <c r="B846" s="52" t="s">
        <v>113</v>
      </c>
      <c r="C846" s="53">
        <v>101.66</v>
      </c>
      <c r="D846" s="56">
        <v>7.2999999999999999E-5</v>
      </c>
    </row>
    <row r="847" spans="1:4" ht="15.6" x14ac:dyDescent="0.3">
      <c r="A847" s="54" t="s">
        <v>58</v>
      </c>
      <c r="B847" s="52" t="s">
        <v>113</v>
      </c>
      <c r="C847" s="53">
        <v>89.65</v>
      </c>
      <c r="D847" s="56">
        <v>6.3999999999999997E-5</v>
      </c>
    </row>
    <row r="848" spans="1:4" ht="15.6" x14ac:dyDescent="0.3">
      <c r="A848" s="54" t="s">
        <v>133</v>
      </c>
      <c r="B848" s="52" t="s">
        <v>113</v>
      </c>
      <c r="C848" s="53">
        <v>80.8</v>
      </c>
      <c r="D848" s="56">
        <v>5.7999999999999994E-5</v>
      </c>
    </row>
    <row r="849" spans="1:4" ht="15.6" x14ac:dyDescent="0.3">
      <c r="A849" s="54" t="s">
        <v>88</v>
      </c>
      <c r="B849" s="52" t="s">
        <v>113</v>
      </c>
      <c r="C849" s="53">
        <v>78.63</v>
      </c>
      <c r="D849" s="56">
        <v>5.5999999999999999E-5</v>
      </c>
    </row>
    <row r="850" spans="1:4" ht="15.6" x14ac:dyDescent="0.3">
      <c r="A850" s="54" t="s">
        <v>66</v>
      </c>
      <c r="B850" s="52" t="s">
        <v>113</v>
      </c>
      <c r="C850" s="53">
        <v>64.75</v>
      </c>
      <c r="D850" s="56">
        <v>4.6E-5</v>
      </c>
    </row>
    <row r="851" spans="1:4" ht="15.6" x14ac:dyDescent="0.3">
      <c r="A851" s="54" t="s">
        <v>94</v>
      </c>
      <c r="B851" s="52" t="s">
        <v>113</v>
      </c>
      <c r="C851" s="53">
        <v>64.099999999999994</v>
      </c>
      <c r="D851" s="56">
        <v>4.6E-5</v>
      </c>
    </row>
    <row r="852" spans="1:4" ht="15.6" x14ac:dyDescent="0.3">
      <c r="A852" s="54" t="s">
        <v>37</v>
      </c>
      <c r="B852" s="52" t="s">
        <v>113</v>
      </c>
      <c r="C852" s="53">
        <v>51.48</v>
      </c>
      <c r="D852" s="56">
        <v>3.7000000000000005E-5</v>
      </c>
    </row>
    <row r="853" spans="1:4" ht="15.6" x14ac:dyDescent="0.3">
      <c r="A853" s="54" t="s">
        <v>65</v>
      </c>
      <c r="B853" s="52" t="s">
        <v>113</v>
      </c>
      <c r="C853" s="53">
        <v>36.22</v>
      </c>
      <c r="D853" s="56">
        <v>2.5999999999999998E-5</v>
      </c>
    </row>
    <row r="854" spans="1:4" ht="15.6" x14ac:dyDescent="0.3">
      <c r="A854" s="54" t="s">
        <v>52</v>
      </c>
      <c r="B854" s="52" t="s">
        <v>113</v>
      </c>
      <c r="C854" s="53">
        <v>23.94</v>
      </c>
      <c r="D854" s="56">
        <v>1.7E-5</v>
      </c>
    </row>
    <row r="855" spans="1:4" ht="15.6" x14ac:dyDescent="0.3">
      <c r="A855" s="54" t="s">
        <v>149</v>
      </c>
      <c r="B855" s="52" t="s">
        <v>113</v>
      </c>
      <c r="C855" s="53">
        <v>19.62</v>
      </c>
      <c r="D855" s="56">
        <v>1.4E-5</v>
      </c>
    </row>
    <row r="856" spans="1:4" ht="15.6" x14ac:dyDescent="0.3">
      <c r="A856" s="54" t="s">
        <v>132</v>
      </c>
      <c r="B856" s="52" t="s">
        <v>113</v>
      </c>
      <c r="C856" s="53">
        <v>12.62</v>
      </c>
      <c r="D856" s="56">
        <v>9.0000000000000002E-6</v>
      </c>
    </row>
    <row r="857" spans="1:4" ht="15.6" x14ac:dyDescent="0.3">
      <c r="A857" s="54" t="s">
        <v>147</v>
      </c>
      <c r="B857" s="52" t="s">
        <v>113</v>
      </c>
      <c r="C857" s="53">
        <v>8.99</v>
      </c>
      <c r="D857" s="56">
        <v>5.9999999999999993E-6</v>
      </c>
    </row>
    <row r="858" spans="1:4" ht="15.6" x14ac:dyDescent="0.3">
      <c r="A858" s="54" t="s">
        <v>1</v>
      </c>
      <c r="B858" s="52" t="s">
        <v>114</v>
      </c>
      <c r="C858" s="57">
        <v>174370.86</v>
      </c>
      <c r="D858" s="56">
        <v>0.14963899999999999</v>
      </c>
    </row>
    <row r="859" spans="1:4" ht="15.6" x14ac:dyDescent="0.3">
      <c r="A859" s="54" t="s">
        <v>6</v>
      </c>
      <c r="B859" s="52" t="s">
        <v>114</v>
      </c>
      <c r="C859" s="57">
        <v>140903.24</v>
      </c>
      <c r="D859" s="56">
        <v>0.120918</v>
      </c>
    </row>
    <row r="860" spans="1:4" ht="15.6" x14ac:dyDescent="0.3">
      <c r="A860" s="54" t="s">
        <v>4</v>
      </c>
      <c r="B860" s="52" t="s">
        <v>114</v>
      </c>
      <c r="C860" s="57">
        <v>120826.5</v>
      </c>
      <c r="D860" s="56">
        <v>0.103689</v>
      </c>
    </row>
    <row r="861" spans="1:4" ht="15.6" x14ac:dyDescent="0.3">
      <c r="A861" s="54" t="s">
        <v>2</v>
      </c>
      <c r="B861" s="52" t="s">
        <v>114</v>
      </c>
      <c r="C861" s="57">
        <v>110206.25</v>
      </c>
      <c r="D861" s="56">
        <v>9.4574999999999992E-2</v>
      </c>
    </row>
    <row r="862" spans="1:4" ht="15.6" x14ac:dyDescent="0.3">
      <c r="A862" s="54" t="s">
        <v>8</v>
      </c>
      <c r="B862" s="52" t="s">
        <v>114</v>
      </c>
      <c r="C862" s="57">
        <v>80728.539999999994</v>
      </c>
      <c r="D862" s="56">
        <v>6.9278000000000006E-2</v>
      </c>
    </row>
    <row r="863" spans="1:4" ht="15.6" x14ac:dyDescent="0.3">
      <c r="A863" s="54" t="s">
        <v>0</v>
      </c>
      <c r="B863" s="52" t="s">
        <v>114</v>
      </c>
      <c r="C863" s="57">
        <v>69177.289999999994</v>
      </c>
      <c r="D863" s="56">
        <v>5.9366000000000002E-2</v>
      </c>
    </row>
    <row r="864" spans="1:4" ht="15.6" x14ac:dyDescent="0.3">
      <c r="A864" s="54" t="s">
        <v>145</v>
      </c>
      <c r="B864" s="52" t="s">
        <v>114</v>
      </c>
      <c r="C864" s="57">
        <v>52762.96</v>
      </c>
      <c r="D864" s="56">
        <v>4.5279E-2</v>
      </c>
    </row>
    <row r="865" spans="1:4" ht="15.6" x14ac:dyDescent="0.3">
      <c r="A865" s="54" t="s">
        <v>17</v>
      </c>
      <c r="B865" s="52" t="s">
        <v>114</v>
      </c>
      <c r="C865" s="57">
        <v>45442.45</v>
      </c>
      <c r="D865" s="56">
        <v>3.8997000000000004E-2</v>
      </c>
    </row>
    <row r="866" spans="1:4" ht="15.6" x14ac:dyDescent="0.3">
      <c r="A866" s="54" t="s">
        <v>3</v>
      </c>
      <c r="B866" s="52" t="s">
        <v>114</v>
      </c>
      <c r="C866" s="57">
        <v>44917.760000000002</v>
      </c>
      <c r="D866" s="56">
        <v>3.8546999999999998E-2</v>
      </c>
    </row>
    <row r="867" spans="1:4" ht="15.6" x14ac:dyDescent="0.3">
      <c r="A867" s="54" t="s">
        <v>7</v>
      </c>
      <c r="B867" s="52" t="s">
        <v>114</v>
      </c>
      <c r="C867" s="57">
        <v>29432.720000000001</v>
      </c>
      <c r="D867" s="56">
        <v>2.5257999999999999E-2</v>
      </c>
    </row>
    <row r="868" spans="1:4" ht="15.6" x14ac:dyDescent="0.3">
      <c r="A868" s="54" t="s">
        <v>10</v>
      </c>
      <c r="B868" s="52" t="s">
        <v>114</v>
      </c>
      <c r="C868" s="57">
        <v>20791.080000000002</v>
      </c>
      <c r="D868" s="56">
        <v>1.7842E-2</v>
      </c>
    </row>
    <row r="869" spans="1:4" ht="15.6" x14ac:dyDescent="0.3">
      <c r="A869" s="54" t="s">
        <v>12</v>
      </c>
      <c r="B869" s="52" t="s">
        <v>114</v>
      </c>
      <c r="C869" s="57">
        <v>19588.97</v>
      </c>
      <c r="D869" s="56">
        <v>1.6811E-2</v>
      </c>
    </row>
    <row r="870" spans="1:4" ht="15.6" x14ac:dyDescent="0.3">
      <c r="A870" s="54" t="s">
        <v>20</v>
      </c>
      <c r="B870" s="52" t="s">
        <v>114</v>
      </c>
      <c r="C870" s="57">
        <v>19536.41</v>
      </c>
      <c r="D870" s="56">
        <v>1.6765000000000002E-2</v>
      </c>
    </row>
    <row r="871" spans="1:4" ht="15.6" x14ac:dyDescent="0.3">
      <c r="A871" s="54" t="s">
        <v>59</v>
      </c>
      <c r="B871" s="52" t="s">
        <v>114</v>
      </c>
      <c r="C871" s="57">
        <v>18641.12</v>
      </c>
      <c r="D871" s="56">
        <v>1.5996999999999997E-2</v>
      </c>
    </row>
    <row r="872" spans="1:4" ht="15.6" x14ac:dyDescent="0.3">
      <c r="A872" s="54" t="s">
        <v>9</v>
      </c>
      <c r="B872" s="52" t="s">
        <v>114</v>
      </c>
      <c r="C872" s="57">
        <v>17587.150000000001</v>
      </c>
      <c r="D872" s="56">
        <v>1.5093000000000001E-2</v>
      </c>
    </row>
    <row r="873" spans="1:4" ht="15.6" x14ac:dyDescent="0.3">
      <c r="A873" s="54" t="s">
        <v>15</v>
      </c>
      <c r="B873" s="52" t="s">
        <v>114</v>
      </c>
      <c r="C873" s="57">
        <v>15801.85</v>
      </c>
      <c r="D873" s="56">
        <v>1.3561E-2</v>
      </c>
    </row>
    <row r="874" spans="1:4" ht="15.6" x14ac:dyDescent="0.3">
      <c r="A874" s="54" t="s">
        <v>11</v>
      </c>
      <c r="B874" s="52" t="s">
        <v>114</v>
      </c>
      <c r="C874" s="57">
        <v>15121.03</v>
      </c>
      <c r="D874" s="56">
        <v>1.2976000000000001E-2</v>
      </c>
    </row>
    <row r="875" spans="1:4" ht="15.6" x14ac:dyDescent="0.3">
      <c r="A875" s="54" t="s">
        <v>159</v>
      </c>
      <c r="B875" s="52" t="s">
        <v>114</v>
      </c>
      <c r="C875" s="57">
        <v>13191.63</v>
      </c>
      <c r="D875" s="56">
        <v>1.1321000000000001E-2</v>
      </c>
    </row>
    <row r="876" spans="1:4" ht="15.6" x14ac:dyDescent="0.3">
      <c r="A876" s="54" t="s">
        <v>19</v>
      </c>
      <c r="B876" s="52" t="s">
        <v>114</v>
      </c>
      <c r="C876" s="57">
        <v>12970.99</v>
      </c>
      <c r="D876" s="56">
        <v>1.1131E-2</v>
      </c>
    </row>
    <row r="877" spans="1:4" ht="15.6" x14ac:dyDescent="0.3">
      <c r="A877" s="54" t="s">
        <v>16</v>
      </c>
      <c r="B877" s="52" t="s">
        <v>114</v>
      </c>
      <c r="C877" s="57">
        <v>12931.13</v>
      </c>
      <c r="D877" s="56">
        <v>1.1096999999999999E-2</v>
      </c>
    </row>
    <row r="878" spans="1:4" ht="15.6" x14ac:dyDescent="0.3">
      <c r="A878" s="54" t="s">
        <v>13</v>
      </c>
      <c r="B878" s="52" t="s">
        <v>114</v>
      </c>
      <c r="C878" s="57">
        <v>12301.22</v>
      </c>
      <c r="D878" s="56">
        <v>1.0556000000000001E-2</v>
      </c>
    </row>
    <row r="879" spans="1:4" ht="15.6" x14ac:dyDescent="0.3">
      <c r="A879" s="54" t="s">
        <v>56</v>
      </c>
      <c r="B879" s="52" t="s">
        <v>114</v>
      </c>
      <c r="C879" s="57">
        <v>11846.23</v>
      </c>
      <c r="D879" s="56">
        <v>1.0166E-2</v>
      </c>
    </row>
    <row r="880" spans="1:4" ht="15.6" x14ac:dyDescent="0.3">
      <c r="A880" s="54" t="s">
        <v>64</v>
      </c>
      <c r="B880" s="52" t="s">
        <v>114</v>
      </c>
      <c r="C880" s="57">
        <v>11293.54</v>
      </c>
      <c r="D880" s="56">
        <v>9.6919999999999992E-3</v>
      </c>
    </row>
    <row r="881" spans="1:4" ht="15.6" x14ac:dyDescent="0.3">
      <c r="A881" s="54" t="s">
        <v>14</v>
      </c>
      <c r="B881" s="52" t="s">
        <v>114</v>
      </c>
      <c r="C881" s="57">
        <v>10310.450000000001</v>
      </c>
      <c r="D881" s="56">
        <v>8.848E-3</v>
      </c>
    </row>
    <row r="882" spans="1:4" ht="15.6" x14ac:dyDescent="0.3">
      <c r="A882" s="54" t="s">
        <v>160</v>
      </c>
      <c r="B882" s="52" t="s">
        <v>114</v>
      </c>
      <c r="C882" s="57">
        <v>10129.02</v>
      </c>
      <c r="D882" s="56">
        <v>8.6920000000000001E-3</v>
      </c>
    </row>
    <row r="883" spans="1:4" ht="15.6" x14ac:dyDescent="0.3">
      <c r="A883" s="54" t="s">
        <v>26</v>
      </c>
      <c r="B883" s="52" t="s">
        <v>114</v>
      </c>
      <c r="C883" s="57">
        <v>8828.1</v>
      </c>
      <c r="D883" s="56">
        <v>7.5760000000000003E-3</v>
      </c>
    </row>
    <row r="884" spans="1:4" ht="15.6" x14ac:dyDescent="0.3">
      <c r="A884" s="54" t="s">
        <v>146</v>
      </c>
      <c r="B884" s="52" t="s">
        <v>114</v>
      </c>
      <c r="C884" s="57">
        <v>7596.09</v>
      </c>
      <c r="D884" s="56">
        <v>6.5190000000000005E-3</v>
      </c>
    </row>
    <row r="885" spans="1:4" ht="15.6" x14ac:dyDescent="0.3">
      <c r="A885" s="54" t="s">
        <v>25</v>
      </c>
      <c r="B885" s="52" t="s">
        <v>114</v>
      </c>
      <c r="C885" s="57">
        <v>6171.53</v>
      </c>
      <c r="D885" s="56">
        <v>5.2959999999999995E-3</v>
      </c>
    </row>
    <row r="886" spans="1:4" ht="15.6" x14ac:dyDescent="0.3">
      <c r="A886" s="54" t="s">
        <v>21</v>
      </c>
      <c r="B886" s="52" t="s">
        <v>114</v>
      </c>
      <c r="C886" s="57">
        <v>4607.6099999999997</v>
      </c>
      <c r="D886" s="56">
        <v>3.954E-3</v>
      </c>
    </row>
    <row r="887" spans="1:4" ht="15.6" x14ac:dyDescent="0.3">
      <c r="A887" s="54" t="s">
        <v>5</v>
      </c>
      <c r="B887" s="52" t="s">
        <v>114</v>
      </c>
      <c r="C887" s="57">
        <v>4498.88</v>
      </c>
      <c r="D887" s="56">
        <v>3.8609999999999998E-3</v>
      </c>
    </row>
    <row r="888" spans="1:4" ht="15.6" x14ac:dyDescent="0.3">
      <c r="A888" s="54" t="s">
        <v>29</v>
      </c>
      <c r="B888" s="52" t="s">
        <v>114</v>
      </c>
      <c r="C888" s="57">
        <v>4270.67</v>
      </c>
      <c r="D888" s="56">
        <v>3.6649999999999999E-3</v>
      </c>
    </row>
    <row r="889" spans="1:4" ht="15.6" x14ac:dyDescent="0.3">
      <c r="A889" s="54" t="s">
        <v>47</v>
      </c>
      <c r="B889" s="52" t="s">
        <v>114</v>
      </c>
      <c r="C889" s="57">
        <v>3428.34</v>
      </c>
      <c r="D889" s="56">
        <v>2.9420000000000002E-3</v>
      </c>
    </row>
    <row r="890" spans="1:4" ht="15.6" x14ac:dyDescent="0.3">
      <c r="A890" s="54" t="s">
        <v>54</v>
      </c>
      <c r="B890" s="52" t="s">
        <v>114</v>
      </c>
      <c r="C890" s="57">
        <v>3348.91</v>
      </c>
      <c r="D890" s="56">
        <v>2.8739999999999998E-3</v>
      </c>
    </row>
    <row r="891" spans="1:4" ht="15.6" x14ac:dyDescent="0.3">
      <c r="A891" s="54" t="s">
        <v>130</v>
      </c>
      <c r="B891" s="52" t="s">
        <v>114</v>
      </c>
      <c r="C891" s="57">
        <v>3317.28</v>
      </c>
      <c r="D891" s="56">
        <v>2.8470000000000001E-3</v>
      </c>
    </row>
    <row r="892" spans="1:4" ht="15.6" x14ac:dyDescent="0.3">
      <c r="A892" s="54" t="s">
        <v>38</v>
      </c>
      <c r="B892" s="52" t="s">
        <v>114</v>
      </c>
      <c r="C892" s="57">
        <v>3314.53</v>
      </c>
      <c r="D892" s="56">
        <v>2.8439999999999997E-3</v>
      </c>
    </row>
    <row r="893" spans="1:4" ht="15.6" x14ac:dyDescent="0.3">
      <c r="A893" s="54" t="s">
        <v>39</v>
      </c>
      <c r="B893" s="52" t="s">
        <v>114</v>
      </c>
      <c r="C893" s="57">
        <v>3144.47</v>
      </c>
      <c r="D893" s="56">
        <v>2.6979999999999999E-3</v>
      </c>
    </row>
    <row r="894" spans="1:4" ht="15.6" x14ac:dyDescent="0.3">
      <c r="A894" s="54" t="s">
        <v>32</v>
      </c>
      <c r="B894" s="52" t="s">
        <v>114</v>
      </c>
      <c r="C894" s="57">
        <v>2190.89</v>
      </c>
      <c r="D894" s="56">
        <v>1.8799999999999999E-3</v>
      </c>
    </row>
    <row r="895" spans="1:4" ht="15.6" x14ac:dyDescent="0.3">
      <c r="A895" s="54" t="s">
        <v>74</v>
      </c>
      <c r="B895" s="52" t="s">
        <v>114</v>
      </c>
      <c r="C895" s="57">
        <v>2180.4899999999998</v>
      </c>
      <c r="D895" s="56">
        <v>1.8709999999999998E-3</v>
      </c>
    </row>
    <row r="896" spans="1:4" ht="15.6" x14ac:dyDescent="0.3">
      <c r="A896" s="54" t="s">
        <v>30</v>
      </c>
      <c r="B896" s="52" t="s">
        <v>114</v>
      </c>
      <c r="C896" s="57">
        <v>1528.17</v>
      </c>
      <c r="D896" s="56">
        <v>1.3109999999999999E-3</v>
      </c>
    </row>
    <row r="897" spans="1:4" ht="15.6" x14ac:dyDescent="0.3">
      <c r="A897" s="54" t="s">
        <v>40</v>
      </c>
      <c r="B897" s="52" t="s">
        <v>114</v>
      </c>
      <c r="C897" s="57">
        <v>1217.3800000000001</v>
      </c>
      <c r="D897" s="56">
        <v>1.0449999999999999E-3</v>
      </c>
    </row>
    <row r="898" spans="1:4" ht="15.6" x14ac:dyDescent="0.3">
      <c r="A898" s="54" t="s">
        <v>42</v>
      </c>
      <c r="B898" s="52" t="s">
        <v>114</v>
      </c>
      <c r="C898" s="57">
        <v>1171.6400000000001</v>
      </c>
      <c r="D898" s="56">
        <v>1.005E-3</v>
      </c>
    </row>
    <row r="899" spans="1:4" ht="15.6" x14ac:dyDescent="0.3">
      <c r="A899" s="54" t="s">
        <v>43</v>
      </c>
      <c r="B899" s="52" t="s">
        <v>114</v>
      </c>
      <c r="C899" s="57">
        <v>1171.1400000000001</v>
      </c>
      <c r="D899" s="56">
        <v>1.005E-3</v>
      </c>
    </row>
    <row r="900" spans="1:4" ht="15.6" x14ac:dyDescent="0.3">
      <c r="A900" s="54" t="s">
        <v>50</v>
      </c>
      <c r="B900" s="52" t="s">
        <v>114</v>
      </c>
      <c r="C900" s="57">
        <v>903.94</v>
      </c>
      <c r="D900" s="56">
        <v>7.76E-4</v>
      </c>
    </row>
    <row r="901" spans="1:4" ht="15.6" x14ac:dyDescent="0.3">
      <c r="A901" s="54" t="s">
        <v>165</v>
      </c>
      <c r="B901" s="52" t="s">
        <v>114</v>
      </c>
      <c r="C901" s="57">
        <v>850.44</v>
      </c>
      <c r="D901" s="56">
        <v>7.2999999999999996E-4</v>
      </c>
    </row>
    <row r="902" spans="1:4" ht="15.6" x14ac:dyDescent="0.3">
      <c r="A902" s="54" t="s">
        <v>91</v>
      </c>
      <c r="B902" s="52" t="s">
        <v>114</v>
      </c>
      <c r="C902" s="57">
        <v>821.78</v>
      </c>
      <c r="D902" s="56">
        <v>7.049999999999999E-4</v>
      </c>
    </row>
    <row r="903" spans="1:4" ht="15.6" x14ac:dyDescent="0.3">
      <c r="A903" s="54" t="s">
        <v>164</v>
      </c>
      <c r="B903" s="52" t="s">
        <v>114</v>
      </c>
      <c r="C903" s="57">
        <v>748.2</v>
      </c>
      <c r="D903" s="56">
        <v>6.4199999999999988E-4</v>
      </c>
    </row>
    <row r="904" spans="1:4" ht="15.6" x14ac:dyDescent="0.3">
      <c r="A904" s="54" t="s">
        <v>41</v>
      </c>
      <c r="B904" s="52" t="s">
        <v>114</v>
      </c>
      <c r="C904" s="57">
        <v>732.27</v>
      </c>
      <c r="D904" s="56">
        <v>6.2799999999999998E-4</v>
      </c>
    </row>
    <row r="905" spans="1:4" ht="15.6" x14ac:dyDescent="0.3">
      <c r="A905" s="54" t="s">
        <v>61</v>
      </c>
      <c r="B905" s="52" t="s">
        <v>114</v>
      </c>
      <c r="C905" s="57">
        <v>684.04</v>
      </c>
      <c r="D905" s="56">
        <v>5.8700000000000007E-4</v>
      </c>
    </row>
    <row r="906" spans="1:4" ht="15.6" x14ac:dyDescent="0.3">
      <c r="A906" s="54" t="s">
        <v>46</v>
      </c>
      <c r="B906" s="52" t="s">
        <v>114</v>
      </c>
      <c r="C906" s="57">
        <v>673.88</v>
      </c>
      <c r="D906" s="56">
        <v>5.7799999999999995E-4</v>
      </c>
    </row>
    <row r="907" spans="1:4" ht="15.6" x14ac:dyDescent="0.3">
      <c r="A907" s="54" t="s">
        <v>161</v>
      </c>
      <c r="B907" s="52" t="s">
        <v>114</v>
      </c>
      <c r="C907" s="57">
        <v>672.48</v>
      </c>
      <c r="D907" s="56">
        <v>5.7700000000000004E-4</v>
      </c>
    </row>
    <row r="908" spans="1:4" ht="15.6" x14ac:dyDescent="0.3">
      <c r="A908" s="54" t="s">
        <v>24</v>
      </c>
      <c r="B908" s="52" t="s">
        <v>114</v>
      </c>
      <c r="C908" s="57">
        <v>578.39</v>
      </c>
      <c r="D908" s="56">
        <v>4.9600000000000002E-4</v>
      </c>
    </row>
    <row r="909" spans="1:4" ht="15.6" x14ac:dyDescent="0.3">
      <c r="A909" s="54" t="s">
        <v>28</v>
      </c>
      <c r="B909" s="52" t="s">
        <v>114</v>
      </c>
      <c r="C909" s="57">
        <v>538.28</v>
      </c>
      <c r="D909" s="56">
        <v>4.6199999999999995E-4</v>
      </c>
    </row>
    <row r="910" spans="1:4" ht="15.6" x14ac:dyDescent="0.3">
      <c r="A910" s="54" t="s">
        <v>31</v>
      </c>
      <c r="B910" s="52" t="s">
        <v>114</v>
      </c>
      <c r="C910" s="57">
        <v>465.74</v>
      </c>
      <c r="D910" s="56">
        <v>4.0000000000000002E-4</v>
      </c>
    </row>
    <row r="911" spans="1:4" ht="15.6" x14ac:dyDescent="0.3">
      <c r="A911" s="54" t="s">
        <v>83</v>
      </c>
      <c r="B911" s="52" t="s">
        <v>114</v>
      </c>
      <c r="C911" s="57">
        <v>462.68</v>
      </c>
      <c r="D911" s="56">
        <v>3.97E-4</v>
      </c>
    </row>
    <row r="912" spans="1:4" ht="15.6" x14ac:dyDescent="0.3">
      <c r="A912" s="54" t="s">
        <v>44</v>
      </c>
      <c r="B912" s="52" t="s">
        <v>114</v>
      </c>
      <c r="C912" s="57">
        <v>411.48</v>
      </c>
      <c r="D912" s="56">
        <v>3.5299999999999996E-4</v>
      </c>
    </row>
    <row r="913" spans="1:4" ht="15.6" x14ac:dyDescent="0.3">
      <c r="A913" s="54" t="s">
        <v>81</v>
      </c>
      <c r="B913" s="52" t="s">
        <v>114</v>
      </c>
      <c r="C913" s="57">
        <v>374.93</v>
      </c>
      <c r="D913" s="56">
        <v>3.2200000000000002E-4</v>
      </c>
    </row>
    <row r="914" spans="1:4" ht="15.6" x14ac:dyDescent="0.3">
      <c r="A914" s="54" t="s">
        <v>45</v>
      </c>
      <c r="B914" s="52" t="s">
        <v>114</v>
      </c>
      <c r="C914" s="57">
        <v>337.7</v>
      </c>
      <c r="D914" s="56">
        <v>2.9E-4</v>
      </c>
    </row>
    <row r="915" spans="1:4" ht="15.6" x14ac:dyDescent="0.3">
      <c r="A915" s="54" t="s">
        <v>37</v>
      </c>
      <c r="B915" s="52" t="s">
        <v>114</v>
      </c>
      <c r="C915" s="57">
        <v>332.16</v>
      </c>
      <c r="D915" s="56">
        <v>2.8499999999999999E-4</v>
      </c>
    </row>
    <row r="916" spans="1:4" ht="15.6" x14ac:dyDescent="0.3">
      <c r="A916" s="54" t="s">
        <v>35</v>
      </c>
      <c r="B916" s="52" t="s">
        <v>114</v>
      </c>
      <c r="C916" s="57">
        <v>318.12</v>
      </c>
      <c r="D916" s="56">
        <v>2.7300000000000002E-4</v>
      </c>
    </row>
    <row r="917" spans="1:4" ht="15.6" x14ac:dyDescent="0.3">
      <c r="A917" s="54" t="s">
        <v>67</v>
      </c>
      <c r="B917" s="52" t="s">
        <v>114</v>
      </c>
      <c r="C917" s="57">
        <v>305.81</v>
      </c>
      <c r="D917" s="56">
        <v>2.6200000000000003E-4</v>
      </c>
    </row>
    <row r="918" spans="1:4" ht="15.6" x14ac:dyDescent="0.3">
      <c r="A918" s="54" t="s">
        <v>27</v>
      </c>
      <c r="B918" s="52" t="s">
        <v>114</v>
      </c>
      <c r="C918" s="57">
        <v>281.24</v>
      </c>
      <c r="D918" s="56">
        <v>2.41E-4</v>
      </c>
    </row>
    <row r="919" spans="1:4" ht="15.6" x14ac:dyDescent="0.3">
      <c r="A919" s="54" t="s">
        <v>36</v>
      </c>
      <c r="B919" s="52" t="s">
        <v>114</v>
      </c>
      <c r="C919" s="57">
        <v>255</v>
      </c>
      <c r="D919" s="56">
        <v>2.1899999999999998E-4</v>
      </c>
    </row>
    <row r="920" spans="1:4" ht="15.6" x14ac:dyDescent="0.3">
      <c r="A920" s="54" t="s">
        <v>166</v>
      </c>
      <c r="B920" s="52" t="s">
        <v>114</v>
      </c>
      <c r="C920" s="57">
        <v>220.9</v>
      </c>
      <c r="D920" s="56">
        <v>1.8999999999999998E-4</v>
      </c>
    </row>
    <row r="921" spans="1:4" ht="15.6" x14ac:dyDescent="0.3">
      <c r="A921" s="54" t="s">
        <v>88</v>
      </c>
      <c r="B921" s="52" t="s">
        <v>114</v>
      </c>
      <c r="C921" s="57">
        <v>172.91</v>
      </c>
      <c r="D921" s="56">
        <v>1.4800000000000002E-4</v>
      </c>
    </row>
    <row r="922" spans="1:4" ht="15.6" x14ac:dyDescent="0.3">
      <c r="A922" s="54" t="s">
        <v>76</v>
      </c>
      <c r="B922" s="52" t="s">
        <v>114</v>
      </c>
      <c r="C922" s="57">
        <v>167.2</v>
      </c>
      <c r="D922" s="56">
        <v>1.4300000000000001E-4</v>
      </c>
    </row>
    <row r="923" spans="1:4" ht="15.6" x14ac:dyDescent="0.3">
      <c r="A923" s="54" t="s">
        <v>62</v>
      </c>
      <c r="B923" s="52" t="s">
        <v>114</v>
      </c>
      <c r="C923" s="57">
        <v>153.22</v>
      </c>
      <c r="D923" s="56">
        <v>1.3100000000000001E-4</v>
      </c>
    </row>
    <row r="924" spans="1:4" ht="15.6" x14ac:dyDescent="0.3">
      <c r="A924" s="54" t="s">
        <v>58</v>
      </c>
      <c r="B924" s="52" t="s">
        <v>114</v>
      </c>
      <c r="C924" s="57">
        <v>146.07</v>
      </c>
      <c r="D924" s="56">
        <v>1.25E-4</v>
      </c>
    </row>
    <row r="925" spans="1:4" ht="15.6" x14ac:dyDescent="0.3">
      <c r="A925" s="54" t="s">
        <v>84</v>
      </c>
      <c r="B925" s="52" t="s">
        <v>114</v>
      </c>
      <c r="C925" s="57">
        <v>139.77000000000001</v>
      </c>
      <c r="D925" s="56">
        <v>1.2E-4</v>
      </c>
    </row>
    <row r="926" spans="1:4" ht="15.6" x14ac:dyDescent="0.3">
      <c r="A926" s="54" t="s">
        <v>53</v>
      </c>
      <c r="B926" s="52" t="s">
        <v>114</v>
      </c>
      <c r="C926" s="57">
        <v>134.96</v>
      </c>
      <c r="D926" s="56">
        <v>1.1599999999999999E-4</v>
      </c>
    </row>
    <row r="927" spans="1:4" ht="15.6" x14ac:dyDescent="0.3">
      <c r="A927" s="54" t="s">
        <v>133</v>
      </c>
      <c r="B927" s="52" t="s">
        <v>114</v>
      </c>
      <c r="C927" s="57">
        <v>120.4</v>
      </c>
      <c r="D927" s="56">
        <v>1.03E-4</v>
      </c>
    </row>
    <row r="928" spans="1:4" ht="15.6" x14ac:dyDescent="0.3">
      <c r="A928" s="54" t="s">
        <v>60</v>
      </c>
      <c r="B928" s="52" t="s">
        <v>114</v>
      </c>
      <c r="C928" s="57">
        <v>115.13</v>
      </c>
      <c r="D928" s="56">
        <v>9.9000000000000008E-5</v>
      </c>
    </row>
    <row r="929" spans="1:4" ht="15.6" x14ac:dyDescent="0.3">
      <c r="A929" s="54" t="s">
        <v>68</v>
      </c>
      <c r="B929" s="52" t="s">
        <v>114</v>
      </c>
      <c r="C929" s="57">
        <v>92.04</v>
      </c>
      <c r="D929" s="56">
        <v>7.9000000000000009E-5</v>
      </c>
    </row>
    <row r="930" spans="1:4" ht="15.6" x14ac:dyDescent="0.3">
      <c r="A930" s="54" t="s">
        <v>33</v>
      </c>
      <c r="B930" s="52" t="s">
        <v>114</v>
      </c>
      <c r="C930" s="57">
        <v>74.69</v>
      </c>
      <c r="D930" s="56">
        <v>6.3999999999999997E-5</v>
      </c>
    </row>
    <row r="931" spans="1:4" ht="15.6" x14ac:dyDescent="0.3">
      <c r="A931" s="54" t="s">
        <v>52</v>
      </c>
      <c r="B931" s="52" t="s">
        <v>114</v>
      </c>
      <c r="C931" s="57">
        <v>52.02</v>
      </c>
      <c r="D931" s="56">
        <v>4.4999999999999996E-5</v>
      </c>
    </row>
    <row r="932" spans="1:4" ht="15.6" x14ac:dyDescent="0.3">
      <c r="A932" s="54" t="s">
        <v>66</v>
      </c>
      <c r="B932" s="52" t="s">
        <v>114</v>
      </c>
      <c r="C932" s="57">
        <v>36.94</v>
      </c>
      <c r="D932" s="56">
        <v>3.1999999999999999E-5</v>
      </c>
    </row>
    <row r="933" spans="1:4" ht="15.6" x14ac:dyDescent="0.3">
      <c r="A933" s="54" t="s">
        <v>65</v>
      </c>
      <c r="B933" s="52" t="s">
        <v>114</v>
      </c>
      <c r="C933" s="57">
        <v>36.22</v>
      </c>
      <c r="D933" s="56">
        <v>3.1000000000000001E-5</v>
      </c>
    </row>
    <row r="934" spans="1:4" ht="15.6" x14ac:dyDescent="0.3">
      <c r="A934" s="54" t="s">
        <v>80</v>
      </c>
      <c r="B934" s="52" t="s">
        <v>114</v>
      </c>
      <c r="C934" s="57">
        <v>31.63</v>
      </c>
      <c r="D934" s="56">
        <v>2.7000000000000002E-5</v>
      </c>
    </row>
    <row r="935" spans="1:4" ht="15.6" x14ac:dyDescent="0.3">
      <c r="A935" s="54" t="s">
        <v>149</v>
      </c>
      <c r="B935" s="52" t="s">
        <v>114</v>
      </c>
      <c r="C935" s="57">
        <v>19.62</v>
      </c>
      <c r="D935" s="56">
        <v>1.7E-5</v>
      </c>
    </row>
    <row r="936" spans="1:4" ht="15.6" x14ac:dyDescent="0.3">
      <c r="A936" s="54" t="s">
        <v>37</v>
      </c>
      <c r="B936" s="52" t="s">
        <v>114</v>
      </c>
      <c r="C936" s="57">
        <v>18.2</v>
      </c>
      <c r="D936" s="56">
        <v>1.5999999999999999E-5</v>
      </c>
    </row>
    <row r="937" spans="1:4" ht="15.6" x14ac:dyDescent="0.3">
      <c r="A937" s="54" t="s">
        <v>168</v>
      </c>
      <c r="B937" s="52" t="s">
        <v>115</v>
      </c>
      <c r="C937" s="53"/>
      <c r="D937" s="71">
        <v>22.756699999999999</v>
      </c>
    </row>
    <row r="938" spans="1:4" ht="15.6" x14ac:dyDescent="0.3">
      <c r="A938" s="54" t="s">
        <v>1</v>
      </c>
      <c r="B938" s="52" t="s">
        <v>115</v>
      </c>
      <c r="C938" s="53">
        <v>205652.92</v>
      </c>
      <c r="D938" s="56">
        <v>0.15978300000000001</v>
      </c>
    </row>
    <row r="939" spans="1:4" ht="15.6" x14ac:dyDescent="0.3">
      <c r="A939" s="54" t="s">
        <v>2</v>
      </c>
      <c r="B939" s="52" t="s">
        <v>115</v>
      </c>
      <c r="C939" s="53">
        <v>119007.69</v>
      </c>
      <c r="D939" s="56">
        <v>9.2463999999999991E-2</v>
      </c>
    </row>
    <row r="940" spans="1:4" ht="15.6" x14ac:dyDescent="0.3">
      <c r="A940" s="54" t="s">
        <v>6</v>
      </c>
      <c r="B940" s="52" t="s">
        <v>115</v>
      </c>
      <c r="C940" s="53">
        <v>114273.77</v>
      </c>
      <c r="D940" s="56">
        <v>8.8786000000000004E-2</v>
      </c>
    </row>
    <row r="941" spans="1:4" ht="15.6" x14ac:dyDescent="0.3">
      <c r="A941" s="54" t="s">
        <v>8</v>
      </c>
      <c r="B941" s="52" t="s">
        <v>115</v>
      </c>
      <c r="C941" s="53">
        <v>75429.11</v>
      </c>
      <c r="D941" s="56">
        <v>5.8604999999999997E-2</v>
      </c>
    </row>
    <row r="942" spans="1:4" ht="15.6" x14ac:dyDescent="0.3">
      <c r="A942" s="54" t="s">
        <v>15</v>
      </c>
      <c r="B942" s="52" t="s">
        <v>115</v>
      </c>
      <c r="C942" s="53">
        <v>54123.6</v>
      </c>
      <c r="D942" s="56">
        <v>4.2051999999999999E-2</v>
      </c>
    </row>
    <row r="943" spans="1:4" ht="15.6" x14ac:dyDescent="0.3">
      <c r="A943" s="54" t="s">
        <v>7</v>
      </c>
      <c r="B943" s="52" t="s">
        <v>115</v>
      </c>
      <c r="C943" s="53">
        <v>51166.94</v>
      </c>
      <c r="D943" s="56">
        <v>3.9753999999999998E-2</v>
      </c>
    </row>
    <row r="944" spans="1:4" ht="15.6" x14ac:dyDescent="0.3">
      <c r="A944" s="54" t="s">
        <v>0</v>
      </c>
      <c r="B944" s="52" t="s">
        <v>115</v>
      </c>
      <c r="C944" s="53">
        <v>50843.48</v>
      </c>
      <c r="D944" s="56">
        <v>3.9502999999999996E-2</v>
      </c>
    </row>
    <row r="945" spans="1:4" ht="15.6" x14ac:dyDescent="0.3">
      <c r="A945" s="54" t="s">
        <v>160</v>
      </c>
      <c r="B945" s="52" t="s">
        <v>115</v>
      </c>
      <c r="C945" s="53">
        <v>31443.78</v>
      </c>
      <c r="D945" s="56">
        <v>2.443E-2</v>
      </c>
    </row>
    <row r="946" spans="1:4" ht="15.6" x14ac:dyDescent="0.3">
      <c r="A946" s="54" t="s">
        <v>3</v>
      </c>
      <c r="B946" s="52" t="s">
        <v>115</v>
      </c>
      <c r="C946" s="53">
        <v>23820.93</v>
      </c>
      <c r="D946" s="56">
        <v>1.8508E-2</v>
      </c>
    </row>
    <row r="947" spans="1:4" ht="15.6" x14ac:dyDescent="0.3">
      <c r="A947" s="54" t="s">
        <v>10</v>
      </c>
      <c r="B947" s="52" t="s">
        <v>115</v>
      </c>
      <c r="C947" s="53">
        <v>21683.02</v>
      </c>
      <c r="D947" s="56">
        <v>1.6847000000000001E-2</v>
      </c>
    </row>
    <row r="948" spans="1:4" ht="15.6" x14ac:dyDescent="0.3">
      <c r="A948" s="54" t="s">
        <v>9</v>
      </c>
      <c r="B948" s="52" t="s">
        <v>115</v>
      </c>
      <c r="C948" s="53">
        <v>21530.53</v>
      </c>
      <c r="D948" s="56">
        <v>1.6728E-2</v>
      </c>
    </row>
    <row r="949" spans="1:4" ht="15.6" x14ac:dyDescent="0.3">
      <c r="A949" s="54" t="s">
        <v>13</v>
      </c>
      <c r="B949" s="52" t="s">
        <v>115</v>
      </c>
      <c r="C949" s="53">
        <v>19297.25</v>
      </c>
      <c r="D949" s="56">
        <v>1.4993000000000001E-2</v>
      </c>
    </row>
    <row r="950" spans="1:4" ht="15.6" x14ac:dyDescent="0.3">
      <c r="A950" s="54" t="s">
        <v>146</v>
      </c>
      <c r="B950" s="52" t="s">
        <v>115</v>
      </c>
      <c r="C950" s="53">
        <v>18334.78</v>
      </c>
      <c r="D950" s="56">
        <v>1.4245000000000001E-2</v>
      </c>
    </row>
    <row r="951" spans="1:4" ht="15.6" x14ac:dyDescent="0.3">
      <c r="A951" s="54" t="s">
        <v>20</v>
      </c>
      <c r="B951" s="52" t="s">
        <v>115</v>
      </c>
      <c r="C951" s="53">
        <v>15713.34</v>
      </c>
      <c r="D951" s="56">
        <v>1.2209000000000001E-2</v>
      </c>
    </row>
    <row r="952" spans="1:4" ht="15.6" x14ac:dyDescent="0.3">
      <c r="A952" s="54" t="s">
        <v>19</v>
      </c>
      <c r="B952" s="52" t="s">
        <v>115</v>
      </c>
      <c r="C952" s="53">
        <v>11780.09</v>
      </c>
      <c r="D952" s="56">
        <v>9.1529999999999997E-3</v>
      </c>
    </row>
    <row r="953" spans="1:4" ht="15.6" x14ac:dyDescent="0.3">
      <c r="A953" s="54" t="s">
        <v>12</v>
      </c>
      <c r="B953" s="52" t="s">
        <v>115</v>
      </c>
      <c r="C953" s="53">
        <v>11546.19</v>
      </c>
      <c r="D953" s="56">
        <v>8.9709999999999998E-3</v>
      </c>
    </row>
    <row r="954" spans="1:4" ht="15.6" x14ac:dyDescent="0.3">
      <c r="A954" s="54" t="s">
        <v>59</v>
      </c>
      <c r="B954" s="52" t="s">
        <v>115</v>
      </c>
      <c r="C954" s="53">
        <v>9622.52</v>
      </c>
      <c r="D954" s="56">
        <v>7.476E-3</v>
      </c>
    </row>
    <row r="955" spans="1:4" ht="15.6" x14ac:dyDescent="0.3">
      <c r="A955" s="54" t="s">
        <v>159</v>
      </c>
      <c r="B955" s="52" t="s">
        <v>115</v>
      </c>
      <c r="C955" s="53">
        <v>9337.26</v>
      </c>
      <c r="D955" s="56">
        <v>7.2550000000000002E-3</v>
      </c>
    </row>
    <row r="956" spans="1:4" ht="15.6" x14ac:dyDescent="0.3">
      <c r="A956" s="54" t="s">
        <v>24</v>
      </c>
      <c r="B956" s="52" t="s">
        <v>115</v>
      </c>
      <c r="C956" s="53">
        <v>8476.2800000000007</v>
      </c>
      <c r="D956" s="56">
        <v>6.5859999999999998E-3</v>
      </c>
    </row>
    <row r="957" spans="1:4" ht="15.6" x14ac:dyDescent="0.3">
      <c r="A957" s="54" t="s">
        <v>5</v>
      </c>
      <c r="B957" s="52" t="s">
        <v>115</v>
      </c>
      <c r="C957" s="53">
        <v>8083.48</v>
      </c>
      <c r="D957" s="56">
        <v>6.28E-3</v>
      </c>
    </row>
    <row r="958" spans="1:4" ht="15.6" x14ac:dyDescent="0.3">
      <c r="A958" s="54" t="s">
        <v>16</v>
      </c>
      <c r="B958" s="52" t="s">
        <v>115</v>
      </c>
      <c r="C958" s="53">
        <v>7752.06</v>
      </c>
      <c r="D958" s="56">
        <v>6.0229999999999997E-3</v>
      </c>
    </row>
    <row r="959" spans="1:4" ht="15.6" x14ac:dyDescent="0.3">
      <c r="A959" s="54" t="s">
        <v>11</v>
      </c>
      <c r="B959" s="52" t="s">
        <v>115</v>
      </c>
      <c r="C959" s="53">
        <v>7627.92</v>
      </c>
      <c r="D959" s="56">
        <v>5.927E-3</v>
      </c>
    </row>
    <row r="960" spans="1:4" ht="15.6" x14ac:dyDescent="0.3">
      <c r="A960" s="54" t="s">
        <v>17</v>
      </c>
      <c r="B960" s="52" t="s">
        <v>115</v>
      </c>
      <c r="C960" s="53">
        <v>5158.04</v>
      </c>
      <c r="D960" s="56">
        <v>4.0080000000000003E-3</v>
      </c>
    </row>
    <row r="961" spans="1:4" ht="15.6" x14ac:dyDescent="0.3">
      <c r="A961" s="54" t="s">
        <v>29</v>
      </c>
      <c r="B961" s="52" t="s">
        <v>115</v>
      </c>
      <c r="C961" s="53">
        <v>5138.45</v>
      </c>
      <c r="D961" s="56">
        <v>3.9919999999999999E-3</v>
      </c>
    </row>
    <row r="962" spans="1:4" ht="15.6" x14ac:dyDescent="0.3">
      <c r="A962" s="54" t="s">
        <v>130</v>
      </c>
      <c r="B962" s="52" t="s">
        <v>115</v>
      </c>
      <c r="C962" s="53">
        <v>5086.99</v>
      </c>
      <c r="D962" s="56">
        <v>3.9519999999999998E-3</v>
      </c>
    </row>
    <row r="963" spans="1:4" ht="15.6" x14ac:dyDescent="0.3">
      <c r="A963" s="54" t="s">
        <v>14</v>
      </c>
      <c r="B963" s="52" t="s">
        <v>115</v>
      </c>
      <c r="C963" s="53">
        <v>4950.54</v>
      </c>
      <c r="D963" s="56">
        <v>3.846E-3</v>
      </c>
    </row>
    <row r="964" spans="1:4" ht="15.6" x14ac:dyDescent="0.3">
      <c r="A964" s="54" t="s">
        <v>26</v>
      </c>
      <c r="B964" s="52" t="s">
        <v>115</v>
      </c>
      <c r="C964" s="53">
        <v>4770.22</v>
      </c>
      <c r="D964" s="56">
        <v>3.7059999999999997E-3</v>
      </c>
    </row>
    <row r="965" spans="1:4" ht="15.6" x14ac:dyDescent="0.3">
      <c r="A965" s="54" t="s">
        <v>41</v>
      </c>
      <c r="B965" s="52" t="s">
        <v>115</v>
      </c>
      <c r="C965" s="53">
        <v>4437.91</v>
      </c>
      <c r="D965" s="56">
        <v>3.4480000000000001E-3</v>
      </c>
    </row>
    <row r="966" spans="1:4" ht="15.6" x14ac:dyDescent="0.3">
      <c r="A966" s="54" t="s">
        <v>21</v>
      </c>
      <c r="B966" s="52" t="s">
        <v>115</v>
      </c>
      <c r="C966" s="53">
        <v>4413.42</v>
      </c>
      <c r="D966" s="56">
        <v>3.4289999999999998E-3</v>
      </c>
    </row>
    <row r="967" spans="1:4" ht="15.6" x14ac:dyDescent="0.3">
      <c r="A967" s="54" t="s">
        <v>30</v>
      </c>
      <c r="B967" s="52" t="s">
        <v>115</v>
      </c>
      <c r="C967" s="53">
        <v>4278.93</v>
      </c>
      <c r="D967" s="56">
        <v>3.3250000000000003E-3</v>
      </c>
    </row>
    <row r="968" spans="1:4" ht="15.6" x14ac:dyDescent="0.3">
      <c r="A968" s="54" t="s">
        <v>38</v>
      </c>
      <c r="B968" s="52" t="s">
        <v>115</v>
      </c>
      <c r="C968" s="53">
        <v>4114.74</v>
      </c>
      <c r="D968" s="56">
        <v>3.1969999999999998E-3</v>
      </c>
    </row>
    <row r="969" spans="1:4" ht="15.6" x14ac:dyDescent="0.3">
      <c r="A969" s="54" t="s">
        <v>47</v>
      </c>
      <c r="B969" s="52" t="s">
        <v>115</v>
      </c>
      <c r="C969" s="53">
        <v>4073.77</v>
      </c>
      <c r="D969" s="56">
        <v>3.1649999999999998E-3</v>
      </c>
    </row>
    <row r="970" spans="1:4" ht="15.6" x14ac:dyDescent="0.3">
      <c r="A970" s="54" t="s">
        <v>39</v>
      </c>
      <c r="B970" s="52" t="s">
        <v>115</v>
      </c>
      <c r="C970" s="53">
        <v>4019.35</v>
      </c>
      <c r="D970" s="56">
        <v>3.1230000000000003E-3</v>
      </c>
    </row>
    <row r="971" spans="1:4" ht="15.6" x14ac:dyDescent="0.3">
      <c r="A971" s="54" t="s">
        <v>32</v>
      </c>
      <c r="B971" s="52" t="s">
        <v>115</v>
      </c>
      <c r="C971" s="53">
        <v>3925.89</v>
      </c>
      <c r="D971" s="56">
        <v>3.0499999999999998E-3</v>
      </c>
    </row>
    <row r="972" spans="1:4" ht="15.6" x14ac:dyDescent="0.3">
      <c r="A972" s="54" t="s">
        <v>145</v>
      </c>
      <c r="B972" s="52" t="s">
        <v>115</v>
      </c>
      <c r="C972" s="53">
        <v>3918.63</v>
      </c>
      <c r="D972" s="56">
        <v>3.045E-3</v>
      </c>
    </row>
    <row r="973" spans="1:4" ht="15.6" x14ac:dyDescent="0.3">
      <c r="A973" s="54" t="s">
        <v>74</v>
      </c>
      <c r="B973" s="52" t="s">
        <v>115</v>
      </c>
      <c r="C973" s="53">
        <v>3797.6</v>
      </c>
      <c r="D973" s="56">
        <v>2.9509999999999996E-3</v>
      </c>
    </row>
    <row r="974" spans="1:4" ht="15.6" x14ac:dyDescent="0.3">
      <c r="A974" s="54" t="s">
        <v>27</v>
      </c>
      <c r="B974" s="52" t="s">
        <v>115</v>
      </c>
      <c r="C974" s="53">
        <v>3509.14</v>
      </c>
      <c r="D974" s="56">
        <v>2.7260000000000001E-3</v>
      </c>
    </row>
    <row r="975" spans="1:4" ht="15.6" x14ac:dyDescent="0.3">
      <c r="A975" s="54" t="s">
        <v>165</v>
      </c>
      <c r="B975" s="52" t="s">
        <v>115</v>
      </c>
      <c r="C975" s="53">
        <v>2956.46</v>
      </c>
      <c r="D975" s="56">
        <v>2.297E-3</v>
      </c>
    </row>
    <row r="976" spans="1:4" ht="15.6" x14ac:dyDescent="0.3">
      <c r="A976" s="54" t="s">
        <v>25</v>
      </c>
      <c r="B976" s="52" t="s">
        <v>115</v>
      </c>
      <c r="C976" s="53">
        <v>2893.77</v>
      </c>
      <c r="D976" s="56">
        <v>2.248E-3</v>
      </c>
    </row>
    <row r="977" spans="1:4" ht="15.6" x14ac:dyDescent="0.3">
      <c r="A977" s="54" t="s">
        <v>46</v>
      </c>
      <c r="B977" s="52" t="s">
        <v>115</v>
      </c>
      <c r="C977" s="53">
        <v>2796.53</v>
      </c>
      <c r="D977" s="56">
        <v>2.173E-3</v>
      </c>
    </row>
    <row r="978" spans="1:4" ht="15.6" x14ac:dyDescent="0.3">
      <c r="A978" s="54" t="s">
        <v>56</v>
      </c>
      <c r="B978" s="52" t="s">
        <v>115</v>
      </c>
      <c r="C978" s="53">
        <v>2486.4499999999998</v>
      </c>
      <c r="D978" s="56">
        <v>1.9320000000000001E-3</v>
      </c>
    </row>
    <row r="979" spans="1:4" ht="15.6" x14ac:dyDescent="0.3">
      <c r="A979" s="54" t="s">
        <v>54</v>
      </c>
      <c r="B979" s="52" t="s">
        <v>115</v>
      </c>
      <c r="C979" s="53">
        <v>2182.42</v>
      </c>
      <c r="D979" s="56">
        <v>1.696E-3</v>
      </c>
    </row>
    <row r="980" spans="1:4" ht="15.6" x14ac:dyDescent="0.3">
      <c r="A980" s="54" t="s">
        <v>28</v>
      </c>
      <c r="B980" s="52" t="s">
        <v>115</v>
      </c>
      <c r="C980" s="53">
        <v>2172.61</v>
      </c>
      <c r="D980" s="56">
        <v>1.688E-3</v>
      </c>
    </row>
    <row r="981" spans="1:4" ht="15.6" x14ac:dyDescent="0.3">
      <c r="A981" s="54" t="s">
        <v>43</v>
      </c>
      <c r="B981" s="52" t="s">
        <v>115</v>
      </c>
      <c r="C981" s="53">
        <v>1963.42</v>
      </c>
      <c r="D981" s="56">
        <v>1.5249999999999999E-3</v>
      </c>
    </row>
    <row r="982" spans="1:4" ht="15.6" x14ac:dyDescent="0.3">
      <c r="A982" s="54" t="s">
        <v>169</v>
      </c>
      <c r="B982" s="52" t="s">
        <v>115</v>
      </c>
      <c r="C982" s="53">
        <v>1868.45</v>
      </c>
      <c r="D982" s="56">
        <v>1.4519999999999999E-3</v>
      </c>
    </row>
    <row r="983" spans="1:4" ht="15.6" x14ac:dyDescent="0.3">
      <c r="A983" s="54" t="s">
        <v>64</v>
      </c>
      <c r="B983" s="52" t="s">
        <v>115</v>
      </c>
      <c r="C983" s="53">
        <v>1641.9</v>
      </c>
      <c r="D983" s="56">
        <v>1.276E-3</v>
      </c>
    </row>
    <row r="984" spans="1:4" ht="15.6" x14ac:dyDescent="0.3">
      <c r="A984" s="54" t="s">
        <v>40</v>
      </c>
      <c r="B984" s="52" t="s">
        <v>115</v>
      </c>
      <c r="C984" s="53">
        <v>898.44</v>
      </c>
      <c r="D984" s="56">
        <v>6.9800000000000005E-4</v>
      </c>
    </row>
    <row r="985" spans="1:4" ht="15.6" x14ac:dyDescent="0.3">
      <c r="A985" s="54" t="s">
        <v>45</v>
      </c>
      <c r="B985" s="52" t="s">
        <v>115</v>
      </c>
      <c r="C985" s="53">
        <v>774.42</v>
      </c>
      <c r="D985" s="56">
        <v>6.02E-4</v>
      </c>
    </row>
    <row r="986" spans="1:4" ht="15.6" x14ac:dyDescent="0.3">
      <c r="A986" s="54" t="s">
        <v>63</v>
      </c>
      <c r="B986" s="52" t="s">
        <v>115</v>
      </c>
      <c r="C986" s="53">
        <v>768.36</v>
      </c>
      <c r="D986" s="56">
        <v>5.9699999999999998E-4</v>
      </c>
    </row>
    <row r="987" spans="1:4" ht="15.6" x14ac:dyDescent="0.3">
      <c r="A987" s="54" t="s">
        <v>37</v>
      </c>
      <c r="B987" s="52" t="s">
        <v>115</v>
      </c>
      <c r="C987" s="53">
        <v>707.39</v>
      </c>
      <c r="D987" s="56">
        <v>5.5000000000000003E-4</v>
      </c>
    </row>
    <row r="988" spans="1:4" ht="15.6" x14ac:dyDescent="0.3">
      <c r="A988" s="54" t="s">
        <v>161</v>
      </c>
      <c r="B988" s="52" t="s">
        <v>115</v>
      </c>
      <c r="C988" s="53">
        <v>640.48</v>
      </c>
      <c r="D988" s="56">
        <v>4.9799999999999996E-4</v>
      </c>
    </row>
    <row r="989" spans="1:4" ht="15.6" x14ac:dyDescent="0.3">
      <c r="A989" s="54" t="s">
        <v>31</v>
      </c>
      <c r="B989" s="52" t="s">
        <v>115</v>
      </c>
      <c r="C989" s="53">
        <v>632.16</v>
      </c>
      <c r="D989" s="56">
        <v>4.9100000000000001E-4</v>
      </c>
    </row>
    <row r="990" spans="1:4" ht="15.6" x14ac:dyDescent="0.3">
      <c r="A990" s="54" t="s">
        <v>50</v>
      </c>
      <c r="B990" s="52" t="s">
        <v>115</v>
      </c>
      <c r="C990" s="53">
        <v>624.38</v>
      </c>
      <c r="D990" s="56">
        <v>4.8500000000000003E-4</v>
      </c>
    </row>
    <row r="991" spans="1:4" ht="15.6" x14ac:dyDescent="0.3">
      <c r="A991" s="54" t="s">
        <v>83</v>
      </c>
      <c r="B991" s="52" t="s">
        <v>115</v>
      </c>
      <c r="C991" s="53">
        <v>558</v>
      </c>
      <c r="D991" s="56">
        <v>4.3400000000000003E-4</v>
      </c>
    </row>
    <row r="992" spans="1:4" ht="15.6" x14ac:dyDescent="0.3">
      <c r="A992" s="54" t="s">
        <v>88</v>
      </c>
      <c r="B992" s="52" t="s">
        <v>115</v>
      </c>
      <c r="C992" s="53">
        <v>539.54</v>
      </c>
      <c r="D992" s="56">
        <v>4.1899999999999999E-4</v>
      </c>
    </row>
    <row r="993" spans="1:4" ht="15.6" x14ac:dyDescent="0.3">
      <c r="A993" s="54" t="s">
        <v>81</v>
      </c>
      <c r="B993" s="52" t="s">
        <v>115</v>
      </c>
      <c r="C993" s="53">
        <v>520.66999999999996</v>
      </c>
      <c r="D993" s="56">
        <v>4.0500000000000003E-4</v>
      </c>
    </row>
    <row r="994" spans="1:4" ht="15.6" x14ac:dyDescent="0.3">
      <c r="A994" s="54" t="s">
        <v>76</v>
      </c>
      <c r="B994" s="52" t="s">
        <v>115</v>
      </c>
      <c r="C994" s="53">
        <v>437.68</v>
      </c>
      <c r="D994" s="56">
        <v>3.4000000000000002E-4</v>
      </c>
    </row>
    <row r="995" spans="1:4" ht="15.6" x14ac:dyDescent="0.3">
      <c r="A995" s="54" t="s">
        <v>44</v>
      </c>
      <c r="B995" s="52" t="s">
        <v>115</v>
      </c>
      <c r="C995" s="53">
        <v>358.96</v>
      </c>
      <c r="D995" s="56">
        <v>2.7900000000000001E-4</v>
      </c>
    </row>
    <row r="996" spans="1:4" ht="15.6" x14ac:dyDescent="0.3">
      <c r="A996" s="54" t="s">
        <v>164</v>
      </c>
      <c r="B996" s="52" t="s">
        <v>115</v>
      </c>
      <c r="C996" s="53">
        <v>318.38</v>
      </c>
      <c r="D996" s="56">
        <v>2.4699999999999999E-4</v>
      </c>
    </row>
    <row r="997" spans="1:4" ht="15.6" x14ac:dyDescent="0.3">
      <c r="A997" s="54" t="s">
        <v>61</v>
      </c>
      <c r="B997" s="52" t="s">
        <v>115</v>
      </c>
      <c r="C997" s="53">
        <v>317.64999999999998</v>
      </c>
      <c r="D997" s="56">
        <v>2.4699999999999999E-4</v>
      </c>
    </row>
    <row r="998" spans="1:4" ht="15.6" x14ac:dyDescent="0.3">
      <c r="A998" s="54" t="s">
        <v>53</v>
      </c>
      <c r="B998" s="52" t="s">
        <v>115</v>
      </c>
      <c r="C998" s="53">
        <v>314.60000000000002</v>
      </c>
      <c r="D998" s="56">
        <v>2.4400000000000002E-4</v>
      </c>
    </row>
    <row r="999" spans="1:4" ht="15.6" x14ac:dyDescent="0.3">
      <c r="A999" s="54" t="s">
        <v>65</v>
      </c>
      <c r="B999" s="52" t="s">
        <v>115</v>
      </c>
      <c r="C999" s="53">
        <v>307.88</v>
      </c>
      <c r="D999" s="56">
        <v>2.3900000000000001E-4</v>
      </c>
    </row>
    <row r="1000" spans="1:4" ht="15.6" x14ac:dyDescent="0.3">
      <c r="A1000" s="54" t="s">
        <v>170</v>
      </c>
      <c r="B1000" s="52" t="s">
        <v>115</v>
      </c>
      <c r="C1000" s="53">
        <v>250.73</v>
      </c>
      <c r="D1000" s="56">
        <v>1.95E-4</v>
      </c>
    </row>
    <row r="1001" spans="1:4" ht="15.6" x14ac:dyDescent="0.3">
      <c r="A1001" s="54" t="s">
        <v>22</v>
      </c>
      <c r="B1001" s="52" t="s">
        <v>115</v>
      </c>
      <c r="C1001" s="53">
        <v>236.5</v>
      </c>
      <c r="D1001" s="56">
        <v>1.84E-4</v>
      </c>
    </row>
    <row r="1002" spans="1:4" ht="15.6" x14ac:dyDescent="0.3">
      <c r="A1002" s="54" t="s">
        <v>166</v>
      </c>
      <c r="B1002" s="52" t="s">
        <v>115</v>
      </c>
      <c r="C1002" s="53">
        <v>218.12</v>
      </c>
      <c r="D1002" s="56">
        <v>1.6899999999999999E-4</v>
      </c>
    </row>
    <row r="1003" spans="1:4" ht="15.6" x14ac:dyDescent="0.3">
      <c r="A1003" s="54" t="s">
        <v>55</v>
      </c>
      <c r="B1003" s="52" t="s">
        <v>115</v>
      </c>
      <c r="C1003" s="53">
        <v>185.14</v>
      </c>
      <c r="D1003" s="56">
        <v>1.44E-4</v>
      </c>
    </row>
    <row r="1004" spans="1:4" ht="15.6" x14ac:dyDescent="0.3">
      <c r="A1004" s="54" t="s">
        <v>35</v>
      </c>
      <c r="B1004" s="52" t="s">
        <v>115</v>
      </c>
      <c r="C1004" s="53">
        <v>173.44</v>
      </c>
      <c r="D1004" s="56">
        <v>1.35E-4</v>
      </c>
    </row>
    <row r="1005" spans="1:4" ht="15.6" x14ac:dyDescent="0.3">
      <c r="A1005" s="54" t="s">
        <v>94</v>
      </c>
      <c r="B1005" s="52" t="s">
        <v>115</v>
      </c>
      <c r="C1005" s="53">
        <v>156.02000000000001</v>
      </c>
      <c r="D1005" s="56">
        <v>1.21E-4</v>
      </c>
    </row>
    <row r="1006" spans="1:4" ht="15.6" x14ac:dyDescent="0.3">
      <c r="A1006" s="54" t="s">
        <v>171</v>
      </c>
      <c r="B1006" s="52" t="s">
        <v>115</v>
      </c>
      <c r="C1006" s="53">
        <v>136.30000000000001</v>
      </c>
      <c r="D1006" s="56">
        <v>1.06E-4</v>
      </c>
    </row>
    <row r="1007" spans="1:4" ht="15.6" x14ac:dyDescent="0.3">
      <c r="A1007" s="54" t="s">
        <v>84</v>
      </c>
      <c r="B1007" s="52" t="s">
        <v>115</v>
      </c>
      <c r="C1007" s="53">
        <v>135</v>
      </c>
      <c r="D1007" s="56">
        <v>1.05E-4</v>
      </c>
    </row>
    <row r="1008" spans="1:4" ht="15.6" x14ac:dyDescent="0.3">
      <c r="A1008" s="54" t="s">
        <v>62</v>
      </c>
      <c r="B1008" s="52" t="s">
        <v>115</v>
      </c>
      <c r="C1008" s="53">
        <v>112.28</v>
      </c>
      <c r="D1008" s="56">
        <v>8.7000000000000001E-5</v>
      </c>
    </row>
    <row r="1009" spans="1:7" ht="15.6" x14ac:dyDescent="0.3">
      <c r="A1009" s="54" t="s">
        <v>66</v>
      </c>
      <c r="B1009" s="52" t="s">
        <v>115</v>
      </c>
      <c r="C1009" s="53">
        <v>108.01</v>
      </c>
      <c r="D1009" s="56">
        <v>8.3999999999999995E-5</v>
      </c>
    </row>
    <row r="1010" spans="1:7" ht="15.6" x14ac:dyDescent="0.3">
      <c r="A1010" s="54" t="s">
        <v>80</v>
      </c>
      <c r="B1010" s="52" t="s">
        <v>115</v>
      </c>
      <c r="C1010" s="53">
        <v>107.54</v>
      </c>
      <c r="D1010" s="56">
        <v>8.3999999999999995E-5</v>
      </c>
    </row>
    <row r="1011" spans="1:7" ht="15.6" x14ac:dyDescent="0.3">
      <c r="A1011" s="54" t="s">
        <v>133</v>
      </c>
      <c r="B1011" s="52" t="s">
        <v>115</v>
      </c>
      <c r="C1011" s="53">
        <v>101</v>
      </c>
      <c r="D1011" s="56">
        <v>7.7999999999999999E-5</v>
      </c>
    </row>
    <row r="1012" spans="1:7" ht="15.6" x14ac:dyDescent="0.3">
      <c r="A1012" s="54" t="s">
        <v>23</v>
      </c>
      <c r="B1012" s="52" t="s">
        <v>115</v>
      </c>
      <c r="C1012" s="53">
        <v>99.96</v>
      </c>
      <c r="D1012" s="56">
        <v>7.7999999999999999E-5</v>
      </c>
    </row>
    <row r="1013" spans="1:7" ht="15.6" x14ac:dyDescent="0.3">
      <c r="A1013" s="54" t="s">
        <v>67</v>
      </c>
      <c r="B1013" s="52" t="s">
        <v>115</v>
      </c>
      <c r="C1013" s="53">
        <v>70.650000000000006</v>
      </c>
      <c r="D1013" s="56">
        <v>5.4999999999999995E-5</v>
      </c>
    </row>
    <row r="1014" spans="1:7" ht="15.6" x14ac:dyDescent="0.3">
      <c r="A1014" s="54" t="s">
        <v>60</v>
      </c>
      <c r="B1014" s="52" t="s">
        <v>115</v>
      </c>
      <c r="C1014" s="53">
        <v>58.81</v>
      </c>
      <c r="D1014" s="56">
        <v>4.6E-5</v>
      </c>
    </row>
    <row r="1015" spans="1:7" ht="15.6" x14ac:dyDescent="0.3">
      <c r="A1015" s="54" t="s">
        <v>37</v>
      </c>
      <c r="B1015" s="52" t="s">
        <v>115</v>
      </c>
      <c r="C1015" s="53">
        <v>46.7</v>
      </c>
      <c r="D1015" s="56">
        <v>3.6000000000000001E-5</v>
      </c>
    </row>
    <row r="1016" spans="1:7" ht="15.6" x14ac:dyDescent="0.3">
      <c r="A1016" s="54" t="s">
        <v>68</v>
      </c>
      <c r="B1016" s="52" t="s">
        <v>115</v>
      </c>
      <c r="C1016" s="53">
        <v>46.02</v>
      </c>
      <c r="D1016" s="56">
        <v>3.6000000000000001E-5</v>
      </c>
    </row>
    <row r="1017" spans="1:7" ht="15.6" x14ac:dyDescent="0.3">
      <c r="A1017" s="54" t="s">
        <v>33</v>
      </c>
      <c r="B1017" s="52" t="s">
        <v>115</v>
      </c>
      <c r="C1017" s="53">
        <v>23.94</v>
      </c>
      <c r="D1017" s="56">
        <v>1.9000000000000001E-5</v>
      </c>
    </row>
    <row r="1018" spans="1:7" ht="15.6" x14ac:dyDescent="0.3">
      <c r="A1018" s="54" t="s">
        <v>52</v>
      </c>
      <c r="B1018" s="52" t="s">
        <v>115</v>
      </c>
      <c r="C1018" s="53">
        <v>23.94</v>
      </c>
      <c r="D1018" s="56">
        <v>1.9000000000000001E-5</v>
      </c>
    </row>
    <row r="1019" spans="1:7" ht="15.6" x14ac:dyDescent="0.3">
      <c r="A1019" s="54" t="s">
        <v>149</v>
      </c>
      <c r="B1019" s="52" t="s">
        <v>115</v>
      </c>
      <c r="C1019" s="53">
        <v>19.62</v>
      </c>
      <c r="D1019" s="56">
        <v>1.5E-5</v>
      </c>
    </row>
    <row r="1020" spans="1:7" ht="15.6" x14ac:dyDescent="0.3">
      <c r="A1020" s="54" t="s">
        <v>85</v>
      </c>
      <c r="B1020" s="52" t="s">
        <v>115</v>
      </c>
      <c r="C1020" s="53">
        <v>18.899999999999999</v>
      </c>
      <c r="D1020" s="56">
        <v>1.5E-5</v>
      </c>
    </row>
    <row r="1021" spans="1:7" ht="15.6" x14ac:dyDescent="0.3">
      <c r="A1021" s="54" t="s">
        <v>97</v>
      </c>
      <c r="B1021" s="52" t="s">
        <v>115</v>
      </c>
      <c r="C1021" s="53">
        <v>12.48</v>
      </c>
      <c r="D1021" s="56">
        <v>1.0000000000000001E-5</v>
      </c>
    </row>
    <row r="1022" spans="1:7" ht="15.6" x14ac:dyDescent="0.3">
      <c r="A1022" s="54" t="s">
        <v>132</v>
      </c>
      <c r="B1022" s="52" t="s">
        <v>115</v>
      </c>
      <c r="C1022" s="53">
        <v>12.37</v>
      </c>
      <c r="D1022" s="56">
        <v>1.0000000000000001E-5</v>
      </c>
    </row>
    <row r="1023" spans="1:7" ht="15.6" x14ac:dyDescent="0.3">
      <c r="A1023" s="54" t="s">
        <v>100</v>
      </c>
      <c r="B1023" s="52" t="s">
        <v>115</v>
      </c>
      <c r="C1023" s="53">
        <v>4.9800000000000004</v>
      </c>
      <c r="D1023" s="56">
        <v>3.9999999999999998E-6</v>
      </c>
    </row>
    <row r="1024" spans="1:7" s="68" customFormat="1" ht="15.6" x14ac:dyDescent="0.3">
      <c r="A1024" s="63"/>
      <c r="B1024" s="64"/>
      <c r="C1024" s="65"/>
      <c r="D1024" s="66"/>
      <c r="E1024" s="67"/>
      <c r="G1024" s="69"/>
    </row>
    <row r="1025" spans="1:7" s="68" customFormat="1" ht="15.6" x14ac:dyDescent="0.3">
      <c r="A1025" s="63"/>
      <c r="B1025" s="64"/>
      <c r="C1025" s="65"/>
      <c r="D1025" s="66"/>
      <c r="E1025" s="67"/>
      <c r="G1025" s="69"/>
    </row>
    <row r="1026" spans="1:7" s="68" customFormat="1" ht="15.6" x14ac:dyDescent="0.3">
      <c r="A1026" s="63"/>
      <c r="B1026" s="64"/>
      <c r="C1026" s="65"/>
      <c r="D1026" s="66"/>
      <c r="E1026" s="67"/>
      <c r="G1026" s="69"/>
    </row>
    <row r="1027" spans="1:7" s="68" customFormat="1" ht="15.6" x14ac:dyDescent="0.3">
      <c r="A1027" s="63"/>
      <c r="B1027" s="64"/>
      <c r="C1027" s="65"/>
      <c r="D1027" s="66"/>
      <c r="E1027" s="67"/>
      <c r="G1027" s="69"/>
    </row>
    <row r="1028" spans="1:7" s="68" customFormat="1" ht="15.6" x14ac:dyDescent="0.3">
      <c r="A1028" s="63"/>
      <c r="B1028" s="64"/>
      <c r="C1028" s="65"/>
      <c r="D1028" s="66"/>
      <c r="E1028" s="67"/>
      <c r="G1028" s="69"/>
    </row>
    <row r="1029" spans="1:7" s="68" customFormat="1" ht="15.6" x14ac:dyDescent="0.3">
      <c r="A1029" s="63"/>
      <c r="B1029" s="64"/>
      <c r="C1029" s="65"/>
      <c r="D1029" s="66"/>
      <c r="E1029" s="67"/>
      <c r="G1029" s="69"/>
    </row>
    <row r="1030" spans="1:7" s="68" customFormat="1" ht="15.6" x14ac:dyDescent="0.3">
      <c r="A1030" s="63"/>
      <c r="B1030" s="64"/>
      <c r="C1030" s="65"/>
      <c r="D1030" s="66"/>
      <c r="E1030" s="67"/>
      <c r="G1030" s="69"/>
    </row>
    <row r="1031" spans="1:7" s="68" customFormat="1" ht="15.6" x14ac:dyDescent="0.3">
      <c r="A1031" s="63"/>
      <c r="B1031" s="64"/>
      <c r="C1031" s="65"/>
      <c r="D1031" s="66"/>
      <c r="E1031" s="67"/>
      <c r="G1031" s="69"/>
    </row>
    <row r="1032" spans="1:7" s="68" customFormat="1" ht="15.6" x14ac:dyDescent="0.3">
      <c r="A1032" s="63"/>
      <c r="B1032" s="64"/>
      <c r="C1032" s="65"/>
      <c r="D1032" s="66"/>
      <c r="E1032" s="67"/>
      <c r="G1032" s="69"/>
    </row>
    <row r="1033" spans="1:7" s="68" customFormat="1" ht="15.6" x14ac:dyDescent="0.3">
      <c r="A1033" s="63"/>
      <c r="B1033" s="64"/>
      <c r="C1033" s="65"/>
      <c r="D1033" s="66"/>
      <c r="E1033" s="67"/>
      <c r="G1033" s="69"/>
    </row>
    <row r="1034" spans="1:7" s="68" customFormat="1" ht="15.6" x14ac:dyDescent="0.3">
      <c r="A1034" s="63"/>
      <c r="B1034" s="64"/>
      <c r="C1034" s="65"/>
      <c r="D1034" s="66"/>
      <c r="E1034" s="67"/>
      <c r="G1034" s="69"/>
    </row>
    <row r="1035" spans="1:7" s="68" customFormat="1" ht="15.6" x14ac:dyDescent="0.3">
      <c r="A1035" s="63"/>
      <c r="B1035" s="64"/>
      <c r="C1035" s="65"/>
      <c r="D1035" s="66"/>
      <c r="E1035" s="67"/>
      <c r="G1035" s="69"/>
    </row>
    <row r="1036" spans="1:7" s="68" customFormat="1" ht="15.6" x14ac:dyDescent="0.3">
      <c r="A1036" s="63"/>
      <c r="B1036" s="64"/>
      <c r="C1036" s="65"/>
      <c r="D1036" s="66"/>
      <c r="E1036" s="67"/>
      <c r="G1036" s="69"/>
    </row>
    <row r="1037" spans="1:7" s="68" customFormat="1" ht="15.6" x14ac:dyDescent="0.3">
      <c r="A1037" s="63"/>
      <c r="B1037" s="64"/>
      <c r="C1037" s="65"/>
      <c r="D1037" s="66"/>
      <c r="E1037" s="67"/>
      <c r="G1037" s="69"/>
    </row>
    <row r="1038" spans="1:7" s="68" customFormat="1" ht="15.6" x14ac:dyDescent="0.3">
      <c r="A1038" s="63"/>
      <c r="B1038" s="64"/>
      <c r="C1038" s="65"/>
      <c r="D1038" s="66"/>
      <c r="E1038" s="67"/>
      <c r="G1038" s="69"/>
    </row>
    <row r="1039" spans="1:7" s="68" customFormat="1" ht="15.6" x14ac:dyDescent="0.3">
      <c r="A1039" s="63"/>
      <c r="B1039" s="64"/>
      <c r="C1039" s="65"/>
      <c r="D1039" s="66"/>
      <c r="E1039" s="67"/>
      <c r="G1039" s="69"/>
    </row>
    <row r="1040" spans="1:7" s="68" customFormat="1" ht="15.6" x14ac:dyDescent="0.3">
      <c r="A1040" s="63"/>
      <c r="B1040" s="64"/>
      <c r="C1040" s="65"/>
      <c r="D1040" s="66"/>
      <c r="E1040" s="67"/>
      <c r="G1040" s="69"/>
    </row>
    <row r="1041" spans="1:7" s="68" customFormat="1" ht="15.6" x14ac:dyDescent="0.3">
      <c r="A1041" s="63"/>
      <c r="B1041" s="64"/>
      <c r="C1041" s="65"/>
      <c r="D1041" s="66"/>
      <c r="E1041" s="67"/>
      <c r="G1041" s="69"/>
    </row>
    <row r="1042" spans="1:7" s="68" customFormat="1" ht="15.6" x14ac:dyDescent="0.3">
      <c r="A1042" s="63"/>
      <c r="B1042" s="64"/>
      <c r="C1042" s="65"/>
      <c r="D1042" s="66"/>
      <c r="E1042" s="67"/>
      <c r="G1042" s="69"/>
    </row>
    <row r="1043" spans="1:7" s="68" customFormat="1" ht="15.6" x14ac:dyDescent="0.3">
      <c r="A1043" s="63"/>
      <c r="B1043" s="64"/>
      <c r="C1043" s="65"/>
      <c r="D1043" s="66"/>
      <c r="E1043" s="67"/>
      <c r="G1043" s="69"/>
    </row>
    <row r="1044" spans="1:7" s="68" customFormat="1" ht="15.6" x14ac:dyDescent="0.3">
      <c r="A1044" s="63"/>
      <c r="B1044" s="64"/>
      <c r="C1044" s="65"/>
      <c r="D1044" s="66"/>
      <c r="E1044" s="67"/>
      <c r="G1044" s="69"/>
    </row>
    <row r="1045" spans="1:7" s="68" customFormat="1" ht="15.6" x14ac:dyDescent="0.3">
      <c r="A1045" s="63"/>
      <c r="B1045" s="64"/>
      <c r="C1045" s="65"/>
      <c r="D1045" s="66"/>
      <c r="E1045" s="67"/>
      <c r="G1045" s="69"/>
    </row>
    <row r="1046" spans="1:7" s="68" customFormat="1" ht="15.6" x14ac:dyDescent="0.3">
      <c r="A1046" s="63"/>
      <c r="B1046" s="64"/>
      <c r="C1046" s="65"/>
      <c r="D1046" s="66"/>
      <c r="E1046" s="67"/>
      <c r="G1046" s="69"/>
    </row>
    <row r="1047" spans="1:7" s="68" customFormat="1" ht="15.6" x14ac:dyDescent="0.3">
      <c r="A1047" s="63"/>
      <c r="B1047" s="64"/>
      <c r="C1047" s="65"/>
      <c r="D1047" s="66"/>
      <c r="E1047" s="67"/>
      <c r="G1047" s="69"/>
    </row>
    <row r="1048" spans="1:7" s="68" customFormat="1" ht="15.6" x14ac:dyDescent="0.3">
      <c r="A1048" s="63"/>
      <c r="B1048" s="64"/>
      <c r="C1048" s="65"/>
      <c r="D1048" s="66"/>
      <c r="E1048" s="67"/>
      <c r="G1048" s="69"/>
    </row>
    <row r="1049" spans="1:7" s="68" customFormat="1" ht="15.6" x14ac:dyDescent="0.3">
      <c r="A1049" s="63"/>
      <c r="B1049" s="64"/>
      <c r="C1049" s="65"/>
      <c r="D1049" s="66"/>
      <c r="E1049" s="67"/>
      <c r="G1049" s="69"/>
    </row>
    <row r="1050" spans="1:7" s="68" customFormat="1" ht="15.6" x14ac:dyDescent="0.3">
      <c r="A1050" s="63"/>
      <c r="B1050" s="64"/>
      <c r="C1050" s="65"/>
      <c r="D1050" s="66"/>
      <c r="E1050" s="67"/>
      <c r="G1050" s="69"/>
    </row>
    <row r="1051" spans="1:7" s="68" customFormat="1" ht="15.6" x14ac:dyDescent="0.3">
      <c r="A1051" s="63"/>
      <c r="B1051" s="64"/>
      <c r="C1051" s="65"/>
      <c r="D1051" s="66"/>
      <c r="E1051" s="67"/>
      <c r="G1051" s="69"/>
    </row>
    <row r="1052" spans="1:7" s="68" customFormat="1" ht="15.6" x14ac:dyDescent="0.3">
      <c r="A1052" s="63"/>
      <c r="B1052" s="64"/>
      <c r="C1052" s="65"/>
      <c r="D1052" s="66"/>
      <c r="E1052" s="67"/>
      <c r="G1052" s="69"/>
    </row>
    <row r="1053" spans="1:7" s="68" customFormat="1" ht="15.6" x14ac:dyDescent="0.3">
      <c r="A1053" s="63"/>
      <c r="B1053" s="64"/>
      <c r="C1053" s="65"/>
      <c r="D1053" s="66"/>
      <c r="E1053" s="67"/>
      <c r="G1053" s="69"/>
    </row>
    <row r="1054" spans="1:7" s="68" customFormat="1" ht="15.6" x14ac:dyDescent="0.3">
      <c r="A1054" s="63"/>
      <c r="B1054" s="64"/>
      <c r="C1054" s="65"/>
      <c r="D1054" s="66"/>
      <c r="E1054" s="67"/>
      <c r="G1054" s="69"/>
    </row>
    <row r="1055" spans="1:7" s="68" customFormat="1" ht="15.6" x14ac:dyDescent="0.3">
      <c r="A1055" s="63"/>
      <c r="B1055" s="64"/>
      <c r="C1055" s="65"/>
      <c r="D1055" s="66"/>
      <c r="E1055" s="67"/>
      <c r="G1055" s="69"/>
    </row>
    <row r="1056" spans="1:7" s="68" customFormat="1" ht="15.6" x14ac:dyDescent="0.3">
      <c r="A1056" s="63"/>
      <c r="B1056" s="64"/>
      <c r="C1056" s="65"/>
      <c r="D1056" s="66"/>
      <c r="E1056" s="67"/>
      <c r="G1056" s="69"/>
    </row>
    <row r="1057" spans="1:7" s="68" customFormat="1" ht="15.6" x14ac:dyDescent="0.3">
      <c r="A1057" s="63"/>
      <c r="B1057" s="64"/>
      <c r="C1057" s="65"/>
      <c r="D1057" s="66"/>
      <c r="E1057" s="67"/>
      <c r="G1057" s="69"/>
    </row>
    <row r="1058" spans="1:7" s="68" customFormat="1" ht="15.6" x14ac:dyDescent="0.3">
      <c r="A1058" s="63"/>
      <c r="B1058" s="64"/>
      <c r="C1058" s="65"/>
      <c r="D1058" s="66"/>
      <c r="E1058" s="67"/>
      <c r="G1058" s="69"/>
    </row>
    <row r="1059" spans="1:7" s="68" customFormat="1" ht="15.6" x14ac:dyDescent="0.3">
      <c r="A1059" s="63"/>
      <c r="B1059" s="64"/>
      <c r="C1059" s="65"/>
      <c r="D1059" s="66"/>
      <c r="E1059" s="67"/>
      <c r="G1059" s="69"/>
    </row>
    <row r="1060" spans="1:7" s="68" customFormat="1" ht="15.6" x14ac:dyDescent="0.3">
      <c r="A1060" s="63"/>
      <c r="B1060" s="64"/>
      <c r="C1060" s="65"/>
      <c r="D1060" s="66"/>
      <c r="E1060" s="67"/>
      <c r="G1060" s="69"/>
    </row>
    <row r="1061" spans="1:7" s="68" customFormat="1" ht="15.6" x14ac:dyDescent="0.3">
      <c r="A1061" s="63"/>
      <c r="B1061" s="64"/>
      <c r="C1061" s="65"/>
      <c r="D1061" s="66"/>
      <c r="E1061" s="67"/>
      <c r="G1061" s="69"/>
    </row>
    <row r="1062" spans="1:7" s="68" customFormat="1" ht="15.6" x14ac:dyDescent="0.3">
      <c r="A1062" s="63"/>
      <c r="B1062" s="64"/>
      <c r="C1062" s="65"/>
      <c r="D1062" s="66"/>
      <c r="E1062" s="67"/>
      <c r="G1062" s="69"/>
    </row>
    <row r="1063" spans="1:7" s="68" customFormat="1" ht="15.6" x14ac:dyDescent="0.3">
      <c r="A1063" s="63"/>
      <c r="B1063" s="64"/>
      <c r="C1063" s="65"/>
      <c r="D1063" s="66"/>
      <c r="E1063" s="67"/>
      <c r="G1063" s="69"/>
    </row>
    <row r="1064" spans="1:7" s="68" customFormat="1" ht="15.6" x14ac:dyDescent="0.3">
      <c r="A1064" s="63"/>
      <c r="B1064" s="64"/>
      <c r="C1064" s="65"/>
      <c r="D1064" s="66"/>
      <c r="E1064" s="67"/>
      <c r="G1064" s="69"/>
    </row>
    <row r="1065" spans="1:7" s="68" customFormat="1" ht="15.6" x14ac:dyDescent="0.3">
      <c r="A1065" s="63"/>
      <c r="B1065" s="64"/>
      <c r="C1065" s="65"/>
      <c r="D1065" s="66"/>
      <c r="E1065" s="67"/>
      <c r="G1065" s="69"/>
    </row>
    <row r="1066" spans="1:7" s="68" customFormat="1" ht="15.6" x14ac:dyDescent="0.3">
      <c r="A1066" s="63"/>
      <c r="B1066" s="64"/>
      <c r="C1066" s="65"/>
      <c r="D1066" s="66"/>
      <c r="E1066" s="67"/>
      <c r="G1066" s="69"/>
    </row>
    <row r="1067" spans="1:7" s="68" customFormat="1" ht="15.6" x14ac:dyDescent="0.3">
      <c r="A1067" s="63"/>
      <c r="B1067" s="64"/>
      <c r="C1067" s="65"/>
      <c r="D1067" s="66"/>
      <c r="E1067" s="67"/>
      <c r="G1067" s="69"/>
    </row>
    <row r="1068" spans="1:7" s="68" customFormat="1" ht="15.6" x14ac:dyDescent="0.3">
      <c r="A1068" s="63"/>
      <c r="B1068" s="64"/>
      <c r="C1068" s="65"/>
      <c r="D1068" s="66"/>
      <c r="E1068" s="67"/>
      <c r="G1068" s="69"/>
    </row>
    <row r="1069" spans="1:7" s="68" customFormat="1" ht="15.6" x14ac:dyDescent="0.3">
      <c r="A1069" s="63"/>
      <c r="B1069" s="64"/>
      <c r="C1069" s="65"/>
      <c r="D1069" s="66"/>
      <c r="E1069" s="67"/>
      <c r="G1069" s="69"/>
    </row>
    <row r="1070" spans="1:7" s="68" customFormat="1" ht="15.6" x14ac:dyDescent="0.3">
      <c r="A1070" s="63"/>
      <c r="B1070" s="64"/>
      <c r="C1070" s="65"/>
      <c r="D1070" s="66"/>
      <c r="E1070" s="67"/>
      <c r="G1070" s="69"/>
    </row>
    <row r="1071" spans="1:7" s="68" customFormat="1" ht="15.6" x14ac:dyDescent="0.3">
      <c r="A1071" s="63"/>
      <c r="B1071" s="64"/>
      <c r="C1071" s="65"/>
      <c r="D1071" s="66"/>
      <c r="E1071" s="67"/>
      <c r="G1071" s="69"/>
    </row>
    <row r="1072" spans="1:7" s="68" customFormat="1" ht="15.6" x14ac:dyDescent="0.3">
      <c r="A1072" s="63"/>
      <c r="B1072" s="64"/>
      <c r="C1072" s="65"/>
      <c r="D1072" s="66"/>
      <c r="E1072" s="67"/>
      <c r="G1072" s="69"/>
    </row>
    <row r="1073" spans="1:7" s="68" customFormat="1" ht="15.6" x14ac:dyDescent="0.3">
      <c r="A1073" s="63"/>
      <c r="B1073" s="64"/>
      <c r="C1073" s="65"/>
      <c r="D1073" s="66"/>
      <c r="E1073" s="67"/>
      <c r="G1073" s="69"/>
    </row>
    <row r="1074" spans="1:7" s="68" customFormat="1" ht="15.6" x14ac:dyDescent="0.3">
      <c r="A1074" s="63"/>
      <c r="B1074" s="64"/>
      <c r="C1074" s="65"/>
      <c r="D1074" s="66"/>
      <c r="E1074" s="67"/>
      <c r="G1074" s="69"/>
    </row>
    <row r="1075" spans="1:7" s="68" customFormat="1" ht="15.6" x14ac:dyDescent="0.3">
      <c r="A1075" s="63"/>
      <c r="B1075" s="64"/>
      <c r="C1075" s="65"/>
      <c r="D1075" s="66"/>
      <c r="E1075" s="67"/>
      <c r="G1075" s="69"/>
    </row>
    <row r="1076" spans="1:7" s="68" customFormat="1" ht="15.6" x14ac:dyDescent="0.3">
      <c r="A1076" s="63"/>
      <c r="B1076" s="64"/>
      <c r="C1076" s="65"/>
      <c r="D1076" s="66"/>
      <c r="E1076" s="67"/>
      <c r="G1076" s="69"/>
    </row>
    <row r="1077" spans="1:7" s="68" customFormat="1" ht="15.6" x14ac:dyDescent="0.3">
      <c r="A1077" s="63"/>
      <c r="B1077" s="64"/>
      <c r="C1077" s="65"/>
      <c r="D1077" s="66"/>
      <c r="E1077" s="67"/>
      <c r="G1077" s="69"/>
    </row>
    <row r="1078" spans="1:7" s="68" customFormat="1" ht="15.6" x14ac:dyDescent="0.3">
      <c r="A1078" s="63"/>
      <c r="B1078" s="64"/>
      <c r="C1078" s="65"/>
      <c r="D1078" s="66"/>
      <c r="E1078" s="67"/>
      <c r="G1078" s="69"/>
    </row>
    <row r="1079" spans="1:7" s="68" customFormat="1" ht="15.6" x14ac:dyDescent="0.3">
      <c r="A1079" s="63"/>
      <c r="B1079" s="64"/>
      <c r="C1079" s="65"/>
      <c r="D1079" s="66"/>
      <c r="E1079" s="67"/>
      <c r="G1079" s="69"/>
    </row>
    <row r="1080" spans="1:7" s="68" customFormat="1" ht="15.6" x14ac:dyDescent="0.3">
      <c r="A1080" s="63"/>
      <c r="B1080" s="64"/>
      <c r="C1080" s="65"/>
      <c r="D1080" s="66"/>
      <c r="E1080" s="67"/>
      <c r="G1080" s="69"/>
    </row>
    <row r="1081" spans="1:7" s="68" customFormat="1" ht="15.6" x14ac:dyDescent="0.3">
      <c r="A1081" s="63"/>
      <c r="B1081" s="64"/>
      <c r="C1081" s="65"/>
      <c r="D1081" s="66"/>
      <c r="E1081" s="67"/>
      <c r="G1081" s="69"/>
    </row>
    <row r="1082" spans="1:7" s="68" customFormat="1" ht="15.6" x14ac:dyDescent="0.3">
      <c r="A1082" s="63"/>
      <c r="B1082" s="64"/>
      <c r="C1082" s="65"/>
      <c r="D1082" s="66"/>
      <c r="E1082" s="67"/>
      <c r="G1082" s="69"/>
    </row>
    <row r="1083" spans="1:7" s="68" customFormat="1" ht="15.6" x14ac:dyDescent="0.3">
      <c r="A1083" s="63"/>
      <c r="B1083" s="64"/>
      <c r="C1083" s="65"/>
      <c r="D1083" s="66"/>
      <c r="E1083" s="67"/>
      <c r="G1083" s="69"/>
    </row>
    <row r="1084" spans="1:7" s="68" customFormat="1" ht="15.6" x14ac:dyDescent="0.3">
      <c r="A1084" s="63"/>
      <c r="B1084" s="64"/>
      <c r="C1084" s="65"/>
      <c r="D1084" s="66"/>
      <c r="E1084" s="67"/>
      <c r="G1084" s="69"/>
    </row>
    <row r="1085" spans="1:7" s="68" customFormat="1" ht="15.6" x14ac:dyDescent="0.3">
      <c r="A1085" s="63"/>
      <c r="B1085" s="64"/>
      <c r="C1085" s="65"/>
      <c r="D1085" s="66"/>
      <c r="E1085" s="67"/>
      <c r="G1085" s="69"/>
    </row>
    <row r="1086" spans="1:7" s="68" customFormat="1" ht="15.6" x14ac:dyDescent="0.3">
      <c r="A1086" s="63"/>
      <c r="B1086" s="64"/>
      <c r="C1086" s="65"/>
      <c r="D1086" s="66"/>
      <c r="E1086" s="67"/>
      <c r="G1086" s="69"/>
    </row>
    <row r="1087" spans="1:7" s="68" customFormat="1" ht="15.6" x14ac:dyDescent="0.3">
      <c r="A1087" s="63"/>
      <c r="B1087" s="64"/>
      <c r="C1087" s="65"/>
      <c r="D1087" s="66"/>
      <c r="E1087" s="67"/>
      <c r="G1087" s="69"/>
    </row>
    <row r="1088" spans="1:7" s="68" customFormat="1" ht="15.6" x14ac:dyDescent="0.3">
      <c r="A1088" s="63"/>
      <c r="B1088" s="64"/>
      <c r="C1088" s="65"/>
      <c r="D1088" s="66"/>
      <c r="E1088" s="67"/>
      <c r="G1088" s="69"/>
    </row>
    <row r="1089" spans="1:7" s="68" customFormat="1" ht="15.6" x14ac:dyDescent="0.3">
      <c r="A1089" s="63"/>
      <c r="B1089" s="64"/>
      <c r="C1089" s="65"/>
      <c r="D1089" s="66"/>
      <c r="E1089" s="67"/>
      <c r="G1089" s="69"/>
    </row>
    <row r="1090" spans="1:7" s="68" customFormat="1" ht="15.6" x14ac:dyDescent="0.3">
      <c r="A1090" s="63"/>
      <c r="B1090" s="64"/>
      <c r="C1090" s="65"/>
      <c r="D1090" s="66"/>
      <c r="E1090" s="67"/>
      <c r="G1090" s="69"/>
    </row>
    <row r="1091" spans="1:7" s="68" customFormat="1" ht="15.6" x14ac:dyDescent="0.3">
      <c r="A1091" s="63"/>
      <c r="B1091" s="64"/>
      <c r="C1091" s="65"/>
      <c r="D1091" s="66"/>
      <c r="E1091" s="67"/>
      <c r="G1091" s="69"/>
    </row>
    <row r="1092" spans="1:7" s="68" customFormat="1" ht="15.6" x14ac:dyDescent="0.3">
      <c r="A1092" s="63"/>
      <c r="B1092" s="64"/>
      <c r="C1092" s="65"/>
      <c r="D1092" s="66"/>
      <c r="E1092" s="67"/>
      <c r="G1092" s="69"/>
    </row>
    <row r="1093" spans="1:7" s="68" customFormat="1" ht="15.6" x14ac:dyDescent="0.3">
      <c r="A1093" s="63"/>
      <c r="B1093" s="64"/>
      <c r="C1093" s="65"/>
      <c r="D1093" s="66"/>
      <c r="E1093" s="67"/>
      <c r="G1093" s="69"/>
    </row>
    <row r="1094" spans="1:7" s="68" customFormat="1" ht="15.6" x14ac:dyDescent="0.3">
      <c r="A1094" s="63"/>
      <c r="B1094" s="64"/>
      <c r="C1094" s="65"/>
      <c r="D1094" s="66"/>
      <c r="E1094" s="67"/>
      <c r="G1094" s="69"/>
    </row>
    <row r="1095" spans="1:7" s="68" customFormat="1" ht="15.6" x14ac:dyDescent="0.3">
      <c r="A1095" s="63"/>
      <c r="B1095" s="64"/>
      <c r="C1095" s="65"/>
      <c r="D1095" s="66"/>
      <c r="E1095" s="67"/>
      <c r="G1095" s="69"/>
    </row>
    <row r="1096" spans="1:7" s="68" customFormat="1" ht="15.6" x14ac:dyDescent="0.3">
      <c r="A1096" s="63"/>
      <c r="B1096" s="64"/>
      <c r="C1096" s="65"/>
      <c r="D1096" s="66"/>
      <c r="E1096" s="67"/>
      <c r="G1096" s="69"/>
    </row>
    <row r="1097" spans="1:7" s="68" customFormat="1" ht="15.6" x14ac:dyDescent="0.3">
      <c r="A1097" s="63"/>
      <c r="B1097" s="64"/>
      <c r="C1097" s="65"/>
      <c r="D1097" s="66"/>
      <c r="E1097" s="67"/>
      <c r="G1097" s="69"/>
    </row>
    <row r="1098" spans="1:7" s="68" customFormat="1" ht="15.6" x14ac:dyDescent="0.3">
      <c r="A1098" s="63"/>
      <c r="B1098" s="64"/>
      <c r="C1098" s="65"/>
      <c r="D1098" s="66"/>
      <c r="E1098" s="67"/>
      <c r="G1098" s="69"/>
    </row>
    <row r="1099" spans="1:7" s="68" customFormat="1" ht="15.6" x14ac:dyDescent="0.3">
      <c r="A1099" s="63"/>
      <c r="B1099" s="64"/>
      <c r="C1099" s="65"/>
      <c r="D1099" s="66"/>
      <c r="E1099" s="67"/>
      <c r="G1099" s="69"/>
    </row>
    <row r="1100" spans="1:7" s="68" customFormat="1" ht="15.6" x14ac:dyDescent="0.3">
      <c r="A1100" s="63"/>
      <c r="B1100" s="64"/>
      <c r="C1100" s="65"/>
      <c r="D1100" s="66"/>
      <c r="E1100" s="67"/>
      <c r="G1100" s="69"/>
    </row>
    <row r="1101" spans="1:7" s="68" customFormat="1" ht="15.6" x14ac:dyDescent="0.3">
      <c r="A1101" s="63"/>
      <c r="B1101" s="64"/>
      <c r="C1101" s="65"/>
      <c r="D1101" s="66"/>
      <c r="E1101" s="67"/>
      <c r="G1101" s="69"/>
    </row>
    <row r="1102" spans="1:7" s="68" customFormat="1" ht="15.6" x14ac:dyDescent="0.3">
      <c r="A1102" s="63"/>
      <c r="B1102" s="64"/>
      <c r="C1102" s="65"/>
      <c r="D1102" s="66"/>
      <c r="E1102" s="67"/>
      <c r="G1102" s="69"/>
    </row>
    <row r="1103" spans="1:7" s="68" customFormat="1" ht="15.6" x14ac:dyDescent="0.3">
      <c r="A1103" s="63"/>
      <c r="B1103" s="64"/>
      <c r="C1103" s="65"/>
      <c r="D1103" s="66"/>
      <c r="E1103" s="67"/>
      <c r="G1103" s="69"/>
    </row>
    <row r="1104" spans="1:7" s="68" customFormat="1" ht="15.6" x14ac:dyDescent="0.3">
      <c r="A1104" s="63"/>
      <c r="B1104" s="64"/>
      <c r="C1104" s="65"/>
      <c r="D1104" s="66"/>
      <c r="E1104" s="67"/>
      <c r="G1104" s="69"/>
    </row>
    <row r="1105" spans="1:7" s="68" customFormat="1" ht="15.6" x14ac:dyDescent="0.3">
      <c r="A1105" s="63"/>
      <c r="B1105" s="64"/>
      <c r="C1105" s="65"/>
      <c r="D1105" s="66"/>
      <c r="E1105" s="67"/>
      <c r="G1105" s="69"/>
    </row>
    <row r="1106" spans="1:7" s="68" customFormat="1" ht="15.6" x14ac:dyDescent="0.3">
      <c r="A1106" s="63"/>
      <c r="B1106" s="64"/>
      <c r="C1106" s="65"/>
      <c r="D1106" s="66"/>
      <c r="E1106" s="67"/>
      <c r="G1106" s="69"/>
    </row>
    <row r="1107" spans="1:7" s="68" customFormat="1" ht="15.6" x14ac:dyDescent="0.3">
      <c r="A1107" s="63"/>
      <c r="B1107" s="64"/>
      <c r="C1107" s="65"/>
      <c r="D1107" s="66"/>
      <c r="E1107" s="67"/>
      <c r="G1107" s="69"/>
    </row>
    <row r="1108" spans="1:7" s="68" customFormat="1" ht="15.6" x14ac:dyDescent="0.3">
      <c r="A1108" s="63"/>
      <c r="B1108" s="64"/>
      <c r="C1108" s="65"/>
      <c r="D1108" s="66"/>
      <c r="E1108" s="67"/>
      <c r="G1108" s="69"/>
    </row>
    <row r="1109" spans="1:7" s="68" customFormat="1" ht="15.6" x14ac:dyDescent="0.3">
      <c r="A1109" s="63"/>
      <c r="B1109" s="64"/>
      <c r="C1109" s="65"/>
      <c r="D1109" s="66"/>
      <c r="E1109" s="67"/>
      <c r="G1109" s="69"/>
    </row>
    <row r="1110" spans="1:7" s="68" customFormat="1" ht="15.6" x14ac:dyDescent="0.3">
      <c r="A1110" s="63"/>
      <c r="B1110" s="64"/>
      <c r="C1110" s="65"/>
      <c r="D1110" s="66"/>
      <c r="E1110" s="67"/>
      <c r="G1110" s="69"/>
    </row>
    <row r="1111" spans="1:7" s="68" customFormat="1" ht="15.6" x14ac:dyDescent="0.3">
      <c r="A1111" s="63"/>
      <c r="B1111" s="64"/>
      <c r="C1111" s="65"/>
      <c r="D1111" s="66"/>
      <c r="E1111" s="67"/>
      <c r="G1111" s="69"/>
    </row>
    <row r="1112" spans="1:7" s="68" customFormat="1" ht="15.6" x14ac:dyDescent="0.3">
      <c r="A1112" s="63"/>
      <c r="B1112" s="64"/>
      <c r="C1112" s="65"/>
      <c r="D1112" s="66"/>
      <c r="E1112" s="67"/>
      <c r="G1112" s="69"/>
    </row>
    <row r="1113" spans="1:7" s="68" customFormat="1" ht="15.6" x14ac:dyDescent="0.3">
      <c r="A1113" s="63"/>
      <c r="B1113" s="64"/>
      <c r="C1113" s="65"/>
      <c r="D1113" s="66"/>
      <c r="E1113" s="67"/>
      <c r="G1113" s="69"/>
    </row>
    <row r="1114" spans="1:7" s="68" customFormat="1" ht="15.6" x14ac:dyDescent="0.3">
      <c r="A1114" s="63"/>
      <c r="B1114" s="64"/>
      <c r="C1114" s="65"/>
      <c r="D1114" s="66"/>
      <c r="E1114" s="67"/>
      <c r="G1114" s="69"/>
    </row>
    <row r="1115" spans="1:7" s="68" customFormat="1" ht="15.6" x14ac:dyDescent="0.3">
      <c r="A1115" s="63"/>
      <c r="B1115" s="64"/>
      <c r="C1115" s="65"/>
      <c r="D1115" s="66"/>
      <c r="E1115" s="67"/>
      <c r="G1115" s="69"/>
    </row>
    <row r="1116" spans="1:7" s="68" customFormat="1" ht="15.6" x14ac:dyDescent="0.3">
      <c r="A1116" s="63"/>
      <c r="B1116" s="64"/>
      <c r="C1116" s="65"/>
      <c r="D1116" s="66"/>
      <c r="E1116" s="67"/>
      <c r="G1116" s="69"/>
    </row>
    <row r="1117" spans="1:7" s="68" customFormat="1" ht="15.6" x14ac:dyDescent="0.3">
      <c r="A1117" s="63"/>
      <c r="B1117" s="64"/>
      <c r="C1117" s="65"/>
      <c r="D1117" s="66"/>
      <c r="E1117" s="67"/>
      <c r="G1117" s="69"/>
    </row>
    <row r="1118" spans="1:7" s="68" customFormat="1" ht="15.6" x14ac:dyDescent="0.3">
      <c r="A1118" s="63"/>
      <c r="B1118" s="64"/>
      <c r="C1118" s="65"/>
      <c r="D1118" s="66"/>
      <c r="E1118" s="67"/>
      <c r="G1118" s="69"/>
    </row>
    <row r="1119" spans="1:7" s="68" customFormat="1" ht="15.6" x14ac:dyDescent="0.3">
      <c r="A1119" s="63"/>
      <c r="B1119" s="64"/>
      <c r="C1119" s="65"/>
      <c r="D1119" s="66"/>
      <c r="E1119" s="67"/>
      <c r="G1119" s="69"/>
    </row>
    <row r="1120" spans="1:7" s="68" customFormat="1" ht="15.6" x14ac:dyDescent="0.3">
      <c r="A1120" s="63"/>
      <c r="B1120" s="64"/>
      <c r="C1120" s="65"/>
      <c r="D1120" s="66"/>
      <c r="E1120" s="67"/>
      <c r="G1120" s="69"/>
    </row>
    <row r="1121" spans="1:7" s="68" customFormat="1" ht="15.6" x14ac:dyDescent="0.3">
      <c r="A1121" s="63"/>
      <c r="B1121" s="64"/>
      <c r="C1121" s="65"/>
      <c r="D1121" s="66"/>
      <c r="E1121" s="67"/>
      <c r="G1121" s="69"/>
    </row>
    <row r="1122" spans="1:7" s="68" customFormat="1" ht="15.6" x14ac:dyDescent="0.3">
      <c r="A1122" s="63"/>
      <c r="B1122" s="64"/>
      <c r="C1122" s="65"/>
      <c r="D1122" s="66"/>
      <c r="E1122" s="67"/>
      <c r="G1122" s="69"/>
    </row>
    <row r="1123" spans="1:7" s="68" customFormat="1" ht="15.6" x14ac:dyDescent="0.3">
      <c r="A1123" s="63"/>
      <c r="B1123" s="64"/>
      <c r="C1123" s="65"/>
      <c r="D1123" s="66"/>
      <c r="E1123" s="67"/>
      <c r="G1123" s="69"/>
    </row>
    <row r="1124" spans="1:7" s="68" customFormat="1" ht="15.6" x14ac:dyDescent="0.3">
      <c r="A1124" s="63"/>
      <c r="B1124" s="64"/>
      <c r="C1124" s="65"/>
      <c r="D1124" s="66"/>
      <c r="E1124" s="67"/>
      <c r="G1124" s="69"/>
    </row>
    <row r="1125" spans="1:7" s="68" customFormat="1" ht="15.6" x14ac:dyDescent="0.3">
      <c r="A1125" s="63"/>
      <c r="B1125" s="64"/>
      <c r="C1125" s="65"/>
      <c r="D1125" s="66"/>
      <c r="E1125" s="67"/>
      <c r="G1125" s="69"/>
    </row>
    <row r="1126" spans="1:7" s="68" customFormat="1" ht="15.6" x14ac:dyDescent="0.3">
      <c r="A1126" s="63"/>
      <c r="B1126" s="64"/>
      <c r="C1126" s="65"/>
      <c r="D1126" s="66"/>
      <c r="E1126" s="67"/>
      <c r="G1126" s="69"/>
    </row>
    <row r="1127" spans="1:7" s="68" customFormat="1" ht="15.6" x14ac:dyDescent="0.3">
      <c r="A1127" s="63"/>
      <c r="B1127" s="64"/>
      <c r="C1127" s="65"/>
      <c r="D1127" s="66"/>
      <c r="E1127" s="67"/>
      <c r="G1127" s="69"/>
    </row>
    <row r="1128" spans="1:7" s="68" customFormat="1" ht="15.6" x14ac:dyDescent="0.3">
      <c r="A1128" s="63"/>
      <c r="B1128" s="64"/>
      <c r="C1128" s="65"/>
      <c r="D1128" s="66"/>
      <c r="E1128" s="67"/>
      <c r="G1128" s="69"/>
    </row>
    <row r="1129" spans="1:7" s="68" customFormat="1" ht="15.6" x14ac:dyDescent="0.3">
      <c r="A1129" s="63"/>
      <c r="B1129" s="64"/>
      <c r="C1129" s="65"/>
      <c r="D1129" s="66"/>
      <c r="E1129" s="67"/>
      <c r="G1129" s="69"/>
    </row>
    <row r="1130" spans="1:7" s="68" customFormat="1" ht="15.6" x14ac:dyDescent="0.3">
      <c r="A1130" s="63"/>
      <c r="B1130" s="64"/>
      <c r="C1130" s="65"/>
      <c r="D1130" s="66"/>
      <c r="E1130" s="67"/>
      <c r="G1130" s="69"/>
    </row>
    <row r="1131" spans="1:7" s="68" customFormat="1" ht="15.6" x14ac:dyDescent="0.3">
      <c r="A1131" s="63"/>
      <c r="B1131" s="64"/>
      <c r="C1131" s="65"/>
      <c r="D1131" s="66"/>
      <c r="E1131" s="67"/>
      <c r="G1131" s="69"/>
    </row>
    <row r="1132" spans="1:7" s="68" customFormat="1" ht="15.6" x14ac:dyDescent="0.3">
      <c r="A1132" s="63"/>
      <c r="B1132" s="64"/>
      <c r="C1132" s="65"/>
      <c r="D1132" s="66"/>
      <c r="E1132" s="67"/>
      <c r="G1132" s="69"/>
    </row>
    <row r="1133" spans="1:7" s="68" customFormat="1" ht="15.6" x14ac:dyDescent="0.3">
      <c r="A1133" s="63"/>
      <c r="B1133" s="64"/>
      <c r="C1133" s="65"/>
      <c r="D1133" s="66"/>
      <c r="E1133" s="67"/>
      <c r="G1133" s="69"/>
    </row>
    <row r="1134" spans="1:7" s="68" customFormat="1" ht="15.6" x14ac:dyDescent="0.3">
      <c r="A1134" s="63"/>
      <c r="B1134" s="64"/>
      <c r="C1134" s="65"/>
      <c r="D1134" s="66"/>
      <c r="E1134" s="67"/>
      <c r="G1134" s="69"/>
    </row>
    <row r="1135" spans="1:7" s="68" customFormat="1" ht="15.6" x14ac:dyDescent="0.3">
      <c r="A1135" s="63"/>
      <c r="B1135" s="64"/>
      <c r="C1135" s="65"/>
      <c r="D1135" s="66"/>
      <c r="E1135" s="67"/>
      <c r="G1135" s="69"/>
    </row>
    <row r="1136" spans="1:7" s="68" customFormat="1" ht="15.6" x14ac:dyDescent="0.3">
      <c r="A1136" s="63"/>
      <c r="B1136" s="64"/>
      <c r="C1136" s="65"/>
      <c r="D1136" s="66"/>
      <c r="E1136" s="67"/>
      <c r="G1136" s="69"/>
    </row>
    <row r="1137" spans="1:7" s="68" customFormat="1" ht="15.6" x14ac:dyDescent="0.3">
      <c r="A1137" s="63"/>
      <c r="B1137" s="64"/>
      <c r="C1137" s="65"/>
      <c r="D1137" s="66"/>
      <c r="E1137" s="67"/>
      <c r="G1137" s="69"/>
    </row>
    <row r="1138" spans="1:7" s="68" customFormat="1" ht="15.6" x14ac:dyDescent="0.3">
      <c r="A1138" s="63"/>
      <c r="B1138" s="64"/>
      <c r="C1138" s="65"/>
      <c r="D1138" s="66"/>
      <c r="E1138" s="67"/>
      <c r="G1138" s="69"/>
    </row>
    <row r="1139" spans="1:7" s="68" customFormat="1" ht="15.6" x14ac:dyDescent="0.3">
      <c r="A1139" s="63"/>
      <c r="B1139" s="64"/>
      <c r="C1139" s="65"/>
      <c r="D1139" s="66"/>
      <c r="E1139" s="67"/>
      <c r="G1139" s="69"/>
    </row>
    <row r="1140" spans="1:7" s="68" customFormat="1" ht="15.6" x14ac:dyDescent="0.3">
      <c r="A1140" s="63"/>
      <c r="B1140" s="64"/>
      <c r="C1140" s="65"/>
      <c r="D1140" s="66"/>
      <c r="E1140" s="67"/>
      <c r="G1140" s="69"/>
    </row>
    <row r="1141" spans="1:7" s="68" customFormat="1" ht="15.6" x14ac:dyDescent="0.3">
      <c r="A1141" s="63"/>
      <c r="B1141" s="64"/>
      <c r="C1141" s="65"/>
      <c r="D1141" s="66"/>
      <c r="E1141" s="67"/>
      <c r="G1141" s="69"/>
    </row>
    <row r="1142" spans="1:7" s="68" customFormat="1" ht="15.6" x14ac:dyDescent="0.3">
      <c r="A1142" s="63"/>
      <c r="B1142" s="64"/>
      <c r="C1142" s="65"/>
      <c r="D1142" s="66"/>
      <c r="E1142" s="67"/>
      <c r="G1142" s="69"/>
    </row>
    <row r="1143" spans="1:7" s="68" customFormat="1" ht="15.6" x14ac:dyDescent="0.3">
      <c r="A1143" s="63"/>
      <c r="B1143" s="64"/>
      <c r="C1143" s="65"/>
      <c r="D1143" s="66"/>
      <c r="E1143" s="67"/>
      <c r="G1143" s="69"/>
    </row>
    <row r="1144" spans="1:7" s="68" customFormat="1" ht="15.6" x14ac:dyDescent="0.3">
      <c r="A1144" s="63"/>
      <c r="B1144" s="64"/>
      <c r="C1144" s="65"/>
      <c r="D1144" s="66"/>
      <c r="E1144" s="67"/>
      <c r="G1144" s="69"/>
    </row>
    <row r="1145" spans="1:7" s="68" customFormat="1" ht="15.6" x14ac:dyDescent="0.3">
      <c r="A1145" s="63"/>
      <c r="B1145" s="64"/>
      <c r="C1145" s="65"/>
      <c r="D1145" s="66"/>
      <c r="E1145" s="67"/>
      <c r="G1145" s="69"/>
    </row>
    <row r="1146" spans="1:7" s="68" customFormat="1" ht="15.6" x14ac:dyDescent="0.3">
      <c r="A1146" s="63"/>
      <c r="B1146" s="64"/>
      <c r="C1146" s="65"/>
      <c r="D1146" s="66"/>
      <c r="E1146" s="67"/>
      <c r="G1146" s="69"/>
    </row>
    <row r="1147" spans="1:7" s="68" customFormat="1" ht="15.6" x14ac:dyDescent="0.3">
      <c r="A1147" s="63"/>
      <c r="B1147" s="64"/>
      <c r="C1147" s="65"/>
      <c r="D1147" s="66"/>
      <c r="E1147" s="67"/>
      <c r="G1147" s="69"/>
    </row>
    <row r="1148" spans="1:7" s="68" customFormat="1" ht="15.6" x14ac:dyDescent="0.3">
      <c r="A1148" s="63"/>
      <c r="B1148" s="64"/>
      <c r="C1148" s="65"/>
      <c r="D1148" s="66"/>
      <c r="E1148" s="67"/>
      <c r="G1148" s="69"/>
    </row>
    <row r="1149" spans="1:7" s="68" customFormat="1" ht="15.6" x14ac:dyDescent="0.3">
      <c r="A1149" s="63"/>
      <c r="B1149" s="64"/>
      <c r="C1149" s="65"/>
      <c r="D1149" s="66"/>
      <c r="E1149" s="67"/>
      <c r="G1149" s="69"/>
    </row>
    <row r="1150" spans="1:7" s="68" customFormat="1" ht="15.6" x14ac:dyDescent="0.3">
      <c r="A1150" s="63"/>
      <c r="B1150" s="64"/>
      <c r="C1150" s="65"/>
      <c r="D1150" s="66"/>
      <c r="E1150" s="67"/>
      <c r="G1150" s="69"/>
    </row>
    <row r="1151" spans="1:7" s="68" customFormat="1" ht="15.6" x14ac:dyDescent="0.3">
      <c r="A1151" s="63"/>
      <c r="B1151" s="64"/>
      <c r="C1151" s="65"/>
      <c r="D1151" s="66"/>
      <c r="E1151" s="67"/>
      <c r="G1151" s="69"/>
    </row>
    <row r="1152" spans="1:7" s="68" customFormat="1" ht="15.6" x14ac:dyDescent="0.3">
      <c r="A1152" s="63"/>
      <c r="B1152" s="64"/>
      <c r="C1152" s="65"/>
      <c r="D1152" s="66"/>
      <c r="E1152" s="67"/>
      <c r="G1152" s="69"/>
    </row>
    <row r="1153" spans="1:7" s="68" customFormat="1" ht="15.6" x14ac:dyDescent="0.3">
      <c r="A1153" s="63"/>
      <c r="B1153" s="64"/>
      <c r="C1153" s="65"/>
      <c r="D1153" s="66"/>
      <c r="E1153" s="67"/>
      <c r="G1153" s="69"/>
    </row>
    <row r="1154" spans="1:7" s="68" customFormat="1" ht="15.6" x14ac:dyDescent="0.3">
      <c r="A1154" s="63"/>
      <c r="B1154" s="64"/>
      <c r="C1154" s="65"/>
      <c r="D1154" s="66"/>
      <c r="E1154" s="67"/>
      <c r="G1154" s="69"/>
    </row>
    <row r="1155" spans="1:7" s="68" customFormat="1" ht="15.6" x14ac:dyDescent="0.3">
      <c r="A1155" s="63"/>
      <c r="B1155" s="64"/>
      <c r="C1155" s="65"/>
      <c r="D1155" s="66"/>
      <c r="E1155" s="67"/>
      <c r="G1155" s="69"/>
    </row>
    <row r="1156" spans="1:7" s="68" customFormat="1" ht="15.6" x14ac:dyDescent="0.3">
      <c r="A1156" s="63"/>
      <c r="B1156" s="64"/>
      <c r="C1156" s="65"/>
      <c r="D1156" s="66"/>
      <c r="E1156" s="67"/>
      <c r="G1156" s="69"/>
    </row>
    <row r="1157" spans="1:7" s="68" customFormat="1" ht="15.6" x14ac:dyDescent="0.3">
      <c r="A1157" s="63"/>
      <c r="B1157" s="64"/>
      <c r="C1157" s="65"/>
      <c r="D1157" s="66"/>
      <c r="E1157" s="67"/>
      <c r="G1157" s="69"/>
    </row>
    <row r="1158" spans="1:7" s="68" customFormat="1" ht="15.6" x14ac:dyDescent="0.3">
      <c r="A1158" s="63"/>
      <c r="B1158" s="64"/>
      <c r="C1158" s="65"/>
      <c r="D1158" s="66"/>
      <c r="E1158" s="67"/>
      <c r="G1158" s="69"/>
    </row>
    <row r="1159" spans="1:7" s="68" customFormat="1" ht="15.6" x14ac:dyDescent="0.3">
      <c r="A1159" s="63"/>
      <c r="B1159" s="64"/>
      <c r="C1159" s="65"/>
      <c r="D1159" s="66"/>
      <c r="E1159" s="67"/>
      <c r="G1159" s="69"/>
    </row>
    <row r="1160" spans="1:7" s="68" customFormat="1" ht="15.6" x14ac:dyDescent="0.3">
      <c r="A1160" s="63"/>
      <c r="B1160" s="64"/>
      <c r="C1160" s="65"/>
      <c r="D1160" s="66"/>
      <c r="E1160" s="67"/>
      <c r="G1160" s="69"/>
    </row>
    <row r="1161" spans="1:7" s="68" customFormat="1" ht="15.6" x14ac:dyDescent="0.3">
      <c r="A1161" s="63"/>
      <c r="B1161" s="64"/>
      <c r="C1161" s="65"/>
      <c r="D1161" s="66"/>
      <c r="E1161" s="67"/>
      <c r="G1161" s="69"/>
    </row>
    <row r="1162" spans="1:7" s="68" customFormat="1" ht="15.6" x14ac:dyDescent="0.3">
      <c r="A1162" s="63"/>
      <c r="B1162" s="64"/>
      <c r="C1162" s="65"/>
      <c r="D1162" s="66"/>
      <c r="E1162" s="67"/>
      <c r="G1162" s="69"/>
    </row>
    <row r="1163" spans="1:7" s="68" customFormat="1" ht="15.6" x14ac:dyDescent="0.3">
      <c r="A1163" s="63"/>
      <c r="B1163" s="64"/>
      <c r="C1163" s="65"/>
      <c r="D1163" s="66"/>
      <c r="E1163" s="67"/>
      <c r="G1163" s="69"/>
    </row>
    <row r="1164" spans="1:7" s="68" customFormat="1" ht="15.6" x14ac:dyDescent="0.3">
      <c r="A1164" s="63"/>
      <c r="B1164" s="64"/>
      <c r="C1164" s="65"/>
      <c r="D1164" s="66"/>
      <c r="E1164" s="67"/>
      <c r="G1164" s="69"/>
    </row>
    <row r="1165" spans="1:7" s="68" customFormat="1" ht="15.6" x14ac:dyDescent="0.3">
      <c r="A1165" s="63"/>
      <c r="B1165" s="64"/>
      <c r="C1165" s="65"/>
      <c r="D1165" s="66"/>
      <c r="E1165" s="67"/>
      <c r="G1165" s="69"/>
    </row>
    <row r="1166" spans="1:7" s="68" customFormat="1" ht="15.6" x14ac:dyDescent="0.3">
      <c r="A1166" s="63"/>
      <c r="B1166" s="64"/>
      <c r="C1166" s="65"/>
      <c r="D1166" s="66"/>
      <c r="E1166" s="67"/>
      <c r="G1166" s="69"/>
    </row>
    <row r="1167" spans="1:7" s="68" customFormat="1" ht="15.6" x14ac:dyDescent="0.3">
      <c r="A1167" s="63"/>
      <c r="B1167" s="64"/>
      <c r="C1167" s="65"/>
      <c r="D1167" s="66"/>
      <c r="E1167" s="67"/>
      <c r="G1167" s="69"/>
    </row>
    <row r="1168" spans="1:7" s="68" customFormat="1" ht="15.6" x14ac:dyDescent="0.3">
      <c r="A1168" s="63"/>
      <c r="B1168" s="64"/>
      <c r="C1168" s="65"/>
      <c r="D1168" s="66"/>
      <c r="E1168" s="67"/>
      <c r="G1168" s="69"/>
    </row>
    <row r="1169" spans="1:7" s="68" customFormat="1" ht="15.6" x14ac:dyDescent="0.3">
      <c r="A1169" s="63"/>
      <c r="B1169" s="64"/>
      <c r="C1169" s="65"/>
      <c r="D1169" s="66"/>
      <c r="E1169" s="67"/>
      <c r="G1169" s="69"/>
    </row>
    <row r="1170" spans="1:7" s="68" customFormat="1" ht="15.6" x14ac:dyDescent="0.3">
      <c r="A1170" s="63"/>
      <c r="B1170" s="64"/>
      <c r="C1170" s="65"/>
      <c r="D1170" s="66"/>
      <c r="E1170" s="67"/>
      <c r="G1170" s="69"/>
    </row>
    <row r="1171" spans="1:7" s="68" customFormat="1" ht="15.6" x14ac:dyDescent="0.3">
      <c r="A1171" s="63"/>
      <c r="B1171" s="64"/>
      <c r="C1171" s="65"/>
      <c r="D1171" s="66"/>
      <c r="E1171" s="67"/>
      <c r="G1171" s="69"/>
    </row>
    <row r="1172" spans="1:7" s="68" customFormat="1" ht="15.6" x14ac:dyDescent="0.3">
      <c r="A1172" s="63"/>
      <c r="B1172" s="64"/>
      <c r="C1172" s="65"/>
      <c r="D1172" s="66"/>
      <c r="E1172" s="67"/>
      <c r="G1172" s="69"/>
    </row>
    <row r="1173" spans="1:7" s="68" customFormat="1" ht="15.6" x14ac:dyDescent="0.3">
      <c r="A1173" s="63"/>
      <c r="B1173" s="64"/>
      <c r="C1173" s="65"/>
      <c r="D1173" s="66"/>
      <c r="E1173" s="67"/>
      <c r="G1173" s="69"/>
    </row>
    <row r="1174" spans="1:7" s="68" customFormat="1" ht="15.6" x14ac:dyDescent="0.3">
      <c r="A1174" s="63"/>
      <c r="B1174" s="64"/>
      <c r="C1174" s="65"/>
      <c r="D1174" s="66"/>
      <c r="E1174" s="67"/>
      <c r="G1174" s="69"/>
    </row>
    <row r="1175" spans="1:7" s="68" customFormat="1" ht="15.6" x14ac:dyDescent="0.3">
      <c r="A1175" s="63"/>
      <c r="B1175" s="64"/>
      <c r="C1175" s="65"/>
      <c r="D1175" s="66"/>
      <c r="E1175" s="67"/>
      <c r="G1175" s="69"/>
    </row>
    <row r="1176" spans="1:7" s="68" customFormat="1" ht="15.6" x14ac:dyDescent="0.3">
      <c r="A1176" s="63"/>
      <c r="B1176" s="64"/>
      <c r="C1176" s="65"/>
      <c r="D1176" s="66"/>
      <c r="E1176" s="67"/>
      <c r="G1176" s="69"/>
    </row>
    <row r="1177" spans="1:7" s="68" customFormat="1" ht="15.6" x14ac:dyDescent="0.3">
      <c r="A1177" s="63"/>
      <c r="B1177" s="64"/>
      <c r="C1177" s="65"/>
      <c r="D1177" s="66"/>
      <c r="E1177" s="67"/>
      <c r="G1177" s="69"/>
    </row>
    <row r="1178" spans="1:7" s="68" customFormat="1" ht="15.6" x14ac:dyDescent="0.3">
      <c r="A1178" s="63"/>
      <c r="B1178" s="64"/>
      <c r="C1178" s="65"/>
      <c r="D1178" s="66"/>
      <c r="E1178" s="67"/>
      <c r="G1178" s="69"/>
    </row>
    <row r="1179" spans="1:7" s="68" customFormat="1" ht="15.6" x14ac:dyDescent="0.3">
      <c r="A1179" s="63"/>
      <c r="B1179" s="64"/>
      <c r="C1179" s="65"/>
      <c r="D1179" s="66"/>
      <c r="E1179" s="67"/>
      <c r="G1179" s="69"/>
    </row>
    <row r="1180" spans="1:7" s="68" customFormat="1" ht="15.6" x14ac:dyDescent="0.3">
      <c r="A1180" s="63"/>
      <c r="B1180" s="64"/>
      <c r="C1180" s="65"/>
      <c r="D1180" s="66"/>
      <c r="E1180" s="67"/>
      <c r="G1180" s="69"/>
    </row>
    <row r="1181" spans="1:7" s="68" customFormat="1" ht="15.6" x14ac:dyDescent="0.3">
      <c r="A1181" s="63"/>
      <c r="B1181" s="64"/>
      <c r="C1181" s="65"/>
      <c r="D1181" s="66"/>
      <c r="E1181" s="67"/>
      <c r="G1181" s="69"/>
    </row>
    <row r="1182" spans="1:7" s="68" customFormat="1" ht="15.6" x14ac:dyDescent="0.3">
      <c r="A1182" s="63"/>
      <c r="B1182" s="64"/>
      <c r="C1182" s="65"/>
      <c r="D1182" s="66"/>
      <c r="E1182" s="67"/>
      <c r="G1182" s="69"/>
    </row>
    <row r="1183" spans="1:7" s="68" customFormat="1" ht="15.6" x14ac:dyDescent="0.3">
      <c r="A1183" s="63"/>
      <c r="B1183" s="64"/>
      <c r="C1183" s="65"/>
      <c r="D1183" s="66"/>
      <c r="E1183" s="67"/>
      <c r="G1183" s="69"/>
    </row>
    <row r="1184" spans="1:7" s="68" customFormat="1" ht="15.6" x14ac:dyDescent="0.3">
      <c r="A1184" s="63"/>
      <c r="B1184" s="64"/>
      <c r="C1184" s="65"/>
      <c r="D1184" s="66"/>
      <c r="E1184" s="67"/>
      <c r="G1184" s="69"/>
    </row>
    <row r="1185" spans="1:7" s="68" customFormat="1" ht="15.6" x14ac:dyDescent="0.3">
      <c r="A1185" s="63"/>
      <c r="B1185" s="64"/>
      <c r="C1185" s="65"/>
      <c r="D1185" s="66"/>
      <c r="E1185" s="67"/>
      <c r="G1185" s="69"/>
    </row>
    <row r="1186" spans="1:7" s="68" customFormat="1" ht="15.6" x14ac:dyDescent="0.3">
      <c r="A1186" s="63"/>
      <c r="B1186" s="64"/>
      <c r="C1186" s="65"/>
      <c r="D1186" s="66"/>
      <c r="E1186" s="67"/>
      <c r="G1186" s="69"/>
    </row>
    <row r="1187" spans="1:7" s="68" customFormat="1" ht="15.6" x14ac:dyDescent="0.3">
      <c r="A1187" s="63"/>
      <c r="B1187" s="64"/>
      <c r="C1187" s="65"/>
      <c r="D1187" s="66"/>
      <c r="E1187" s="67"/>
      <c r="G1187" s="69"/>
    </row>
    <row r="1188" spans="1:7" s="68" customFormat="1" ht="15.6" x14ac:dyDescent="0.3">
      <c r="A1188" s="63"/>
      <c r="B1188" s="64"/>
      <c r="C1188" s="65"/>
      <c r="D1188" s="66"/>
      <c r="E1188" s="67"/>
      <c r="G1188" s="69"/>
    </row>
    <row r="1189" spans="1:7" s="68" customFormat="1" ht="15.6" x14ac:dyDescent="0.3">
      <c r="A1189" s="63"/>
      <c r="B1189" s="64"/>
      <c r="C1189" s="65"/>
      <c r="D1189" s="66"/>
      <c r="E1189" s="67"/>
      <c r="G1189" s="69"/>
    </row>
    <row r="1190" spans="1:7" s="68" customFormat="1" ht="15.6" x14ac:dyDescent="0.3">
      <c r="A1190" s="63"/>
      <c r="B1190" s="64"/>
      <c r="C1190" s="65"/>
      <c r="D1190" s="66"/>
      <c r="E1190" s="67"/>
      <c r="G1190" s="69"/>
    </row>
    <row r="1191" spans="1:7" s="68" customFormat="1" ht="15.6" x14ac:dyDescent="0.3">
      <c r="A1191" s="63"/>
      <c r="B1191" s="64"/>
      <c r="C1191" s="65"/>
      <c r="D1191" s="66"/>
      <c r="E1191" s="67"/>
      <c r="G1191" s="69"/>
    </row>
    <row r="1192" spans="1:7" s="68" customFormat="1" ht="15.6" x14ac:dyDescent="0.3">
      <c r="A1192" s="63"/>
      <c r="B1192" s="64"/>
      <c r="C1192" s="65"/>
      <c r="D1192" s="66"/>
      <c r="E1192" s="67"/>
      <c r="G1192" s="69"/>
    </row>
    <row r="1193" spans="1:7" s="68" customFormat="1" ht="15.6" x14ac:dyDescent="0.3">
      <c r="A1193" s="63"/>
      <c r="B1193" s="64"/>
      <c r="C1193" s="65"/>
      <c r="D1193" s="66"/>
      <c r="E1193" s="67"/>
      <c r="G1193" s="69"/>
    </row>
    <row r="1194" spans="1:7" s="68" customFormat="1" ht="15.6" x14ac:dyDescent="0.3">
      <c r="A1194" s="63"/>
      <c r="B1194" s="64"/>
      <c r="C1194" s="65"/>
      <c r="D1194" s="66"/>
      <c r="E1194" s="67"/>
      <c r="G1194" s="69"/>
    </row>
    <row r="1195" spans="1:7" s="68" customFormat="1" ht="15.6" x14ac:dyDescent="0.3">
      <c r="A1195" s="63"/>
      <c r="B1195" s="64"/>
      <c r="C1195" s="65"/>
      <c r="D1195" s="66"/>
      <c r="E1195" s="67"/>
      <c r="G1195" s="69"/>
    </row>
    <row r="1196" spans="1:7" s="68" customFormat="1" ht="15.6" x14ac:dyDescent="0.3">
      <c r="A1196" s="63"/>
      <c r="B1196" s="64"/>
      <c r="C1196" s="65"/>
      <c r="D1196" s="66"/>
      <c r="E1196" s="67"/>
      <c r="G1196" s="69"/>
    </row>
    <row r="1197" spans="1:7" s="68" customFormat="1" ht="15.6" x14ac:dyDescent="0.3">
      <c r="A1197" s="63"/>
      <c r="B1197" s="64"/>
      <c r="C1197" s="65"/>
      <c r="D1197" s="66"/>
      <c r="E1197" s="67"/>
      <c r="G1197" s="69"/>
    </row>
    <row r="1198" spans="1:7" s="68" customFormat="1" ht="15.6" x14ac:dyDescent="0.3">
      <c r="A1198" s="63"/>
      <c r="B1198" s="64"/>
      <c r="C1198" s="65"/>
      <c r="D1198" s="66"/>
      <c r="E1198" s="67"/>
      <c r="G1198" s="69"/>
    </row>
    <row r="1199" spans="1:7" s="68" customFormat="1" ht="15.6" x14ac:dyDescent="0.3">
      <c r="A1199" s="63"/>
      <c r="B1199" s="64"/>
      <c r="C1199" s="65"/>
      <c r="D1199" s="66"/>
      <c r="E1199" s="67"/>
      <c r="G1199" s="69"/>
    </row>
    <row r="1200" spans="1:7" s="68" customFormat="1" ht="15.6" x14ac:dyDescent="0.3">
      <c r="A1200" s="63"/>
      <c r="B1200" s="64"/>
      <c r="C1200" s="65"/>
      <c r="D1200" s="66"/>
      <c r="E1200" s="67"/>
      <c r="G1200" s="69"/>
    </row>
    <row r="1201" spans="1:7" s="68" customFormat="1" ht="15.6" x14ac:dyDescent="0.3">
      <c r="A1201" s="63"/>
      <c r="B1201" s="64"/>
      <c r="C1201" s="65"/>
      <c r="D1201" s="66"/>
      <c r="E1201" s="67"/>
      <c r="G1201" s="69"/>
    </row>
    <row r="1202" spans="1:7" s="68" customFormat="1" ht="15.6" x14ac:dyDescent="0.3">
      <c r="A1202" s="63"/>
      <c r="B1202" s="64"/>
      <c r="C1202" s="65"/>
      <c r="D1202" s="66"/>
      <c r="E1202" s="67"/>
      <c r="G1202" s="69"/>
    </row>
    <row r="1203" spans="1:7" s="68" customFormat="1" ht="15.6" x14ac:dyDescent="0.3">
      <c r="A1203" s="63"/>
      <c r="B1203" s="64"/>
      <c r="C1203" s="65"/>
      <c r="D1203" s="66"/>
      <c r="E1203" s="67"/>
      <c r="G1203" s="69"/>
    </row>
    <row r="1204" spans="1:7" s="68" customFormat="1" ht="15.6" x14ac:dyDescent="0.3">
      <c r="A1204" s="63"/>
      <c r="B1204" s="64"/>
      <c r="C1204" s="65"/>
      <c r="D1204" s="66"/>
      <c r="E1204" s="67"/>
      <c r="G1204" s="69"/>
    </row>
    <row r="1205" spans="1:7" s="68" customFormat="1" ht="15.6" x14ac:dyDescent="0.3">
      <c r="A1205" s="63"/>
      <c r="B1205" s="64"/>
      <c r="C1205" s="65"/>
      <c r="D1205" s="66"/>
      <c r="E1205" s="67"/>
      <c r="G1205" s="69"/>
    </row>
    <row r="1206" spans="1:7" s="68" customFormat="1" ht="15.6" x14ac:dyDescent="0.3">
      <c r="A1206" s="63"/>
      <c r="B1206" s="64"/>
      <c r="C1206" s="65"/>
      <c r="D1206" s="66"/>
      <c r="E1206" s="67"/>
      <c r="G1206" s="69"/>
    </row>
    <row r="1207" spans="1:7" s="68" customFormat="1" ht="15.6" x14ac:dyDescent="0.3">
      <c r="A1207" s="63"/>
      <c r="B1207" s="64"/>
      <c r="C1207" s="65"/>
      <c r="D1207" s="66"/>
      <c r="E1207" s="67"/>
      <c r="G1207" s="69"/>
    </row>
    <row r="1208" spans="1:7" s="68" customFormat="1" ht="15.6" x14ac:dyDescent="0.3">
      <c r="A1208" s="63"/>
      <c r="B1208" s="64"/>
      <c r="C1208" s="65"/>
      <c r="D1208" s="66"/>
      <c r="E1208" s="67"/>
      <c r="G1208" s="69"/>
    </row>
    <row r="1209" spans="1:7" s="68" customFormat="1" ht="15.6" x14ac:dyDescent="0.3">
      <c r="A1209" s="63"/>
      <c r="B1209" s="64"/>
      <c r="C1209" s="65"/>
      <c r="D1209" s="66"/>
      <c r="E1209" s="67"/>
      <c r="G1209" s="69"/>
    </row>
    <row r="1210" spans="1:7" s="68" customFormat="1" ht="15.6" x14ac:dyDescent="0.3">
      <c r="A1210" s="63"/>
      <c r="B1210" s="64"/>
      <c r="C1210" s="65"/>
      <c r="D1210" s="66"/>
      <c r="E1210" s="67"/>
      <c r="G1210" s="69"/>
    </row>
    <row r="1211" spans="1:7" s="68" customFormat="1" ht="15.6" x14ac:dyDescent="0.3">
      <c r="A1211" s="63"/>
      <c r="B1211" s="64"/>
      <c r="C1211" s="65"/>
      <c r="D1211" s="66"/>
      <c r="E1211" s="67"/>
      <c r="G1211" s="69"/>
    </row>
    <row r="1212" spans="1:7" s="68" customFormat="1" ht="15.6" x14ac:dyDescent="0.3">
      <c r="A1212" s="63"/>
      <c r="B1212" s="64"/>
      <c r="C1212" s="65"/>
      <c r="D1212" s="66"/>
      <c r="E1212" s="67"/>
      <c r="G1212" s="69"/>
    </row>
    <row r="1213" spans="1:7" s="68" customFormat="1" ht="15.6" x14ac:dyDescent="0.3">
      <c r="A1213" s="63"/>
      <c r="B1213" s="64"/>
      <c r="C1213" s="65"/>
      <c r="D1213" s="66"/>
      <c r="E1213" s="67"/>
      <c r="G1213" s="69"/>
    </row>
    <row r="1214" spans="1:7" s="68" customFormat="1" ht="15.6" x14ac:dyDescent="0.3">
      <c r="A1214" s="63"/>
      <c r="B1214" s="64"/>
      <c r="C1214" s="65"/>
      <c r="D1214" s="66"/>
      <c r="E1214" s="67"/>
      <c r="G1214" s="69"/>
    </row>
    <row r="1215" spans="1:7" s="68" customFormat="1" ht="15.6" x14ac:dyDescent="0.3">
      <c r="A1215" s="63"/>
      <c r="B1215" s="64"/>
      <c r="C1215" s="65"/>
      <c r="D1215" s="66"/>
      <c r="E1215" s="67"/>
      <c r="G1215" s="69"/>
    </row>
    <row r="1216" spans="1:7" s="68" customFormat="1" ht="15.6" x14ac:dyDescent="0.3">
      <c r="A1216" s="63"/>
      <c r="B1216" s="64"/>
      <c r="C1216" s="65"/>
      <c r="D1216" s="66"/>
      <c r="E1216" s="67"/>
      <c r="G1216" s="69"/>
    </row>
    <row r="1217" spans="1:7" s="68" customFormat="1" ht="15.6" x14ac:dyDescent="0.3">
      <c r="A1217" s="63"/>
      <c r="B1217" s="64"/>
      <c r="C1217" s="65"/>
      <c r="D1217" s="66"/>
      <c r="E1217" s="67"/>
      <c r="G1217" s="69"/>
    </row>
    <row r="1218" spans="1:7" s="68" customFormat="1" ht="15.6" x14ac:dyDescent="0.3">
      <c r="A1218" s="63"/>
      <c r="B1218" s="64"/>
      <c r="C1218" s="65"/>
      <c r="D1218" s="66"/>
      <c r="E1218" s="67"/>
      <c r="G1218" s="69"/>
    </row>
    <row r="1219" spans="1:7" s="68" customFormat="1" ht="15.6" x14ac:dyDescent="0.3">
      <c r="A1219" s="63"/>
      <c r="B1219" s="64"/>
      <c r="C1219" s="65"/>
      <c r="D1219" s="66"/>
      <c r="E1219" s="67"/>
      <c r="G1219" s="69"/>
    </row>
    <row r="1220" spans="1:7" s="68" customFormat="1" ht="15.6" x14ac:dyDescent="0.3">
      <c r="A1220" s="63"/>
      <c r="B1220" s="64"/>
      <c r="C1220" s="65"/>
      <c r="D1220" s="66"/>
      <c r="E1220" s="67"/>
      <c r="G1220" s="69"/>
    </row>
    <row r="1221" spans="1:7" s="68" customFormat="1" ht="15.6" x14ac:dyDescent="0.3">
      <c r="A1221" s="63"/>
      <c r="B1221" s="64"/>
      <c r="C1221" s="65"/>
      <c r="D1221" s="66"/>
      <c r="E1221" s="67"/>
      <c r="G1221" s="69"/>
    </row>
    <row r="1222" spans="1:7" s="68" customFormat="1" ht="15.6" x14ac:dyDescent="0.3">
      <c r="A1222" s="63"/>
      <c r="B1222" s="64"/>
      <c r="C1222" s="65"/>
      <c r="D1222" s="66"/>
      <c r="E1222" s="67"/>
      <c r="G1222" s="69"/>
    </row>
    <row r="1223" spans="1:7" s="68" customFormat="1" ht="15.6" x14ac:dyDescent="0.3">
      <c r="A1223" s="63"/>
      <c r="B1223" s="64"/>
      <c r="C1223" s="65"/>
      <c r="D1223" s="66"/>
      <c r="E1223" s="67"/>
      <c r="G1223" s="69"/>
    </row>
    <row r="1224" spans="1:7" s="68" customFormat="1" ht="15.6" x14ac:dyDescent="0.3">
      <c r="A1224" s="63"/>
      <c r="B1224" s="64"/>
      <c r="C1224" s="65"/>
      <c r="D1224" s="66"/>
      <c r="E1224" s="67"/>
      <c r="G1224" s="69"/>
    </row>
    <row r="1225" spans="1:7" s="68" customFormat="1" ht="15.6" x14ac:dyDescent="0.3">
      <c r="A1225" s="63"/>
      <c r="B1225" s="64"/>
      <c r="C1225" s="65"/>
      <c r="D1225" s="66"/>
      <c r="E1225" s="67"/>
      <c r="G1225" s="69"/>
    </row>
    <row r="1226" spans="1:7" s="68" customFormat="1" ht="15.6" x14ac:dyDescent="0.3">
      <c r="A1226" s="63"/>
      <c r="B1226" s="64"/>
      <c r="C1226" s="65"/>
      <c r="D1226" s="66"/>
      <c r="E1226" s="67"/>
      <c r="G1226" s="69"/>
    </row>
    <row r="1227" spans="1:7" s="68" customFormat="1" ht="15.6" x14ac:dyDescent="0.3">
      <c r="A1227" s="63"/>
      <c r="B1227" s="64"/>
      <c r="C1227" s="65"/>
      <c r="D1227" s="66"/>
      <c r="E1227" s="67"/>
      <c r="G1227" s="69"/>
    </row>
    <row r="1228" spans="1:7" s="68" customFormat="1" ht="15.6" x14ac:dyDescent="0.3">
      <c r="A1228" s="63"/>
      <c r="B1228" s="64"/>
      <c r="C1228" s="65"/>
      <c r="D1228" s="66"/>
      <c r="E1228" s="67"/>
      <c r="G1228" s="69"/>
    </row>
    <row r="1229" spans="1:7" s="68" customFormat="1" ht="15.6" x14ac:dyDescent="0.3">
      <c r="A1229" s="63"/>
      <c r="B1229" s="64"/>
      <c r="C1229" s="65"/>
      <c r="D1229" s="66"/>
      <c r="E1229" s="67"/>
      <c r="G1229" s="69"/>
    </row>
    <row r="1230" spans="1:7" s="68" customFormat="1" ht="15.6" x14ac:dyDescent="0.3">
      <c r="A1230" s="63"/>
      <c r="B1230" s="64"/>
      <c r="C1230" s="65"/>
      <c r="D1230" s="66"/>
      <c r="E1230" s="67"/>
      <c r="G1230" s="69"/>
    </row>
    <row r="1231" spans="1:7" s="68" customFormat="1" ht="15.6" x14ac:dyDescent="0.3">
      <c r="A1231" s="63"/>
      <c r="B1231" s="64"/>
      <c r="C1231" s="65"/>
      <c r="D1231" s="66"/>
      <c r="E1231" s="67"/>
      <c r="G1231" s="69"/>
    </row>
    <row r="1232" spans="1:7" s="68" customFormat="1" ht="15.6" x14ac:dyDescent="0.3">
      <c r="A1232" s="63"/>
      <c r="B1232" s="64"/>
      <c r="C1232" s="65"/>
      <c r="D1232" s="66"/>
      <c r="E1232" s="67"/>
      <c r="G1232" s="69"/>
    </row>
    <row r="1233" spans="1:7" s="68" customFormat="1" ht="15.6" x14ac:dyDescent="0.3">
      <c r="A1233" s="63"/>
      <c r="B1233" s="64"/>
      <c r="C1233" s="65"/>
      <c r="D1233" s="66"/>
      <c r="E1233" s="67"/>
      <c r="G1233" s="69"/>
    </row>
    <row r="1234" spans="1:7" s="68" customFormat="1" ht="15.6" x14ac:dyDescent="0.3">
      <c r="A1234" s="63"/>
      <c r="B1234" s="64"/>
      <c r="C1234" s="65"/>
      <c r="D1234" s="66"/>
      <c r="E1234" s="67"/>
      <c r="G1234" s="69"/>
    </row>
    <row r="1235" spans="1:7" s="68" customFormat="1" ht="15.6" x14ac:dyDescent="0.3">
      <c r="A1235" s="63"/>
      <c r="B1235" s="64"/>
      <c r="C1235" s="65"/>
      <c r="D1235" s="66"/>
      <c r="E1235" s="67"/>
      <c r="G1235" s="69"/>
    </row>
    <row r="1236" spans="1:7" s="68" customFormat="1" ht="15.6" x14ac:dyDescent="0.3">
      <c r="A1236" s="63"/>
      <c r="B1236" s="64"/>
      <c r="C1236" s="65"/>
      <c r="D1236" s="66"/>
      <c r="E1236" s="67"/>
      <c r="G1236" s="69"/>
    </row>
    <row r="1237" spans="1:7" s="68" customFormat="1" ht="15.6" x14ac:dyDescent="0.3">
      <c r="A1237" s="63"/>
      <c r="B1237" s="64"/>
      <c r="C1237" s="65"/>
      <c r="D1237" s="66"/>
      <c r="E1237" s="67"/>
      <c r="G1237" s="69"/>
    </row>
    <row r="1238" spans="1:7" s="68" customFormat="1" ht="15.6" x14ac:dyDescent="0.3">
      <c r="A1238" s="63"/>
      <c r="B1238" s="64"/>
      <c r="C1238" s="65"/>
      <c r="D1238" s="66"/>
      <c r="E1238" s="67"/>
      <c r="G1238" s="69"/>
    </row>
    <row r="1239" spans="1:7" s="68" customFormat="1" ht="15.6" x14ac:dyDescent="0.3">
      <c r="A1239" s="63"/>
      <c r="B1239" s="64"/>
      <c r="C1239" s="65"/>
      <c r="D1239" s="66"/>
      <c r="E1239" s="67"/>
      <c r="G1239" s="69"/>
    </row>
    <row r="1240" spans="1:7" s="68" customFormat="1" ht="15.6" x14ac:dyDescent="0.3">
      <c r="A1240" s="63"/>
      <c r="B1240" s="64"/>
      <c r="C1240" s="65"/>
      <c r="D1240" s="66"/>
      <c r="E1240" s="67"/>
      <c r="G1240" s="69"/>
    </row>
    <row r="1241" spans="1:7" s="68" customFormat="1" ht="15.6" x14ac:dyDescent="0.3">
      <c r="A1241" s="63"/>
      <c r="B1241" s="64"/>
      <c r="C1241" s="65"/>
      <c r="D1241" s="66"/>
      <c r="E1241" s="67"/>
      <c r="G1241" s="69"/>
    </row>
    <row r="1242" spans="1:7" s="68" customFormat="1" ht="15.6" x14ac:dyDescent="0.3">
      <c r="A1242" s="63"/>
      <c r="B1242" s="64"/>
      <c r="C1242" s="65"/>
      <c r="D1242" s="66"/>
      <c r="E1242" s="67"/>
      <c r="G1242" s="69"/>
    </row>
    <row r="1243" spans="1:7" s="68" customFormat="1" ht="15.6" x14ac:dyDescent="0.3">
      <c r="A1243" s="63"/>
      <c r="B1243" s="64"/>
      <c r="C1243" s="65"/>
      <c r="D1243" s="66"/>
      <c r="E1243" s="67"/>
      <c r="G1243" s="69"/>
    </row>
    <row r="1244" spans="1:7" s="68" customFormat="1" ht="15.6" x14ac:dyDescent="0.3">
      <c r="A1244" s="63"/>
      <c r="B1244" s="64"/>
      <c r="C1244" s="65"/>
      <c r="D1244" s="66"/>
      <c r="E1244" s="67"/>
      <c r="G1244" s="69"/>
    </row>
    <row r="1245" spans="1:7" s="68" customFormat="1" ht="15.6" x14ac:dyDescent="0.3">
      <c r="A1245" s="63"/>
      <c r="B1245" s="64"/>
      <c r="C1245" s="65"/>
      <c r="D1245" s="66"/>
      <c r="E1245" s="67"/>
      <c r="G1245" s="69"/>
    </row>
    <row r="1246" spans="1:7" s="68" customFormat="1" ht="15.6" x14ac:dyDescent="0.3">
      <c r="A1246" s="63"/>
      <c r="B1246" s="64"/>
      <c r="C1246" s="65"/>
      <c r="D1246" s="66"/>
      <c r="E1246" s="67"/>
      <c r="G1246" s="69"/>
    </row>
    <row r="1247" spans="1:7" s="68" customFormat="1" ht="15.6" x14ac:dyDescent="0.3">
      <c r="A1247" s="63"/>
      <c r="B1247" s="64"/>
      <c r="C1247" s="65"/>
      <c r="D1247" s="66"/>
      <c r="E1247" s="67"/>
      <c r="G1247" s="69"/>
    </row>
    <row r="1248" spans="1:7" s="68" customFormat="1" ht="15.6" x14ac:dyDescent="0.3">
      <c r="A1248" s="63"/>
      <c r="B1248" s="64"/>
      <c r="C1248" s="65"/>
      <c r="D1248" s="66"/>
      <c r="E1248" s="67"/>
      <c r="G1248" s="69"/>
    </row>
    <row r="1249" spans="1:7" s="68" customFormat="1" ht="15.6" x14ac:dyDescent="0.3">
      <c r="A1249" s="63"/>
      <c r="B1249" s="64"/>
      <c r="C1249" s="65"/>
      <c r="D1249" s="66"/>
      <c r="E1249" s="67"/>
      <c r="G1249" s="69"/>
    </row>
    <row r="1250" spans="1:7" s="68" customFormat="1" ht="15.6" x14ac:dyDescent="0.3">
      <c r="A1250" s="63"/>
      <c r="B1250" s="64"/>
      <c r="C1250" s="65"/>
      <c r="D1250" s="66"/>
      <c r="E1250" s="67"/>
      <c r="G1250" s="69"/>
    </row>
    <row r="1251" spans="1:7" s="68" customFormat="1" ht="15.6" x14ac:dyDescent="0.3">
      <c r="A1251" s="63"/>
      <c r="B1251" s="64"/>
      <c r="C1251" s="65"/>
      <c r="D1251" s="66"/>
      <c r="E1251" s="67"/>
      <c r="G1251" s="69"/>
    </row>
    <row r="1252" spans="1:7" s="68" customFormat="1" ht="15.6" x14ac:dyDescent="0.3">
      <c r="A1252" s="63"/>
      <c r="B1252" s="64"/>
      <c r="C1252" s="65"/>
      <c r="D1252" s="66"/>
      <c r="E1252" s="67"/>
      <c r="G1252" s="69"/>
    </row>
    <row r="1253" spans="1:7" s="68" customFormat="1" ht="15.6" x14ac:dyDescent="0.3">
      <c r="A1253" s="63"/>
      <c r="B1253" s="64"/>
      <c r="C1253" s="65"/>
      <c r="D1253" s="66"/>
      <c r="E1253" s="67"/>
      <c r="G1253" s="69"/>
    </row>
    <row r="1254" spans="1:7" s="68" customFormat="1" ht="15.6" x14ac:dyDescent="0.3">
      <c r="A1254" s="63"/>
      <c r="B1254" s="64"/>
      <c r="C1254" s="65"/>
      <c r="D1254" s="66"/>
      <c r="E1254" s="67"/>
      <c r="G1254" s="69"/>
    </row>
    <row r="1255" spans="1:7" s="68" customFormat="1" ht="15.6" x14ac:dyDescent="0.3">
      <c r="A1255" s="63"/>
      <c r="B1255" s="64"/>
      <c r="C1255" s="65"/>
      <c r="D1255" s="66"/>
      <c r="E1255" s="67"/>
      <c r="G1255" s="69"/>
    </row>
    <row r="1256" spans="1:7" s="68" customFormat="1" ht="15.6" x14ac:dyDescent="0.3">
      <c r="A1256" s="63"/>
      <c r="B1256" s="64"/>
      <c r="C1256" s="65"/>
      <c r="D1256" s="66"/>
      <c r="E1256" s="67"/>
      <c r="G1256" s="69"/>
    </row>
    <row r="1257" spans="1:7" s="68" customFormat="1" ht="15.6" x14ac:dyDescent="0.3">
      <c r="A1257" s="63"/>
      <c r="B1257" s="64"/>
      <c r="C1257" s="65"/>
      <c r="D1257" s="66"/>
      <c r="E1257" s="67"/>
      <c r="G1257" s="69"/>
    </row>
    <row r="1258" spans="1:7" s="68" customFormat="1" ht="15.6" x14ac:dyDescent="0.3">
      <c r="A1258" s="63"/>
      <c r="B1258" s="64"/>
      <c r="C1258" s="65"/>
      <c r="D1258" s="66"/>
      <c r="E1258" s="67"/>
      <c r="G1258" s="69"/>
    </row>
    <row r="1259" spans="1:7" s="68" customFormat="1" ht="15.6" x14ac:dyDescent="0.3">
      <c r="A1259" s="63"/>
      <c r="B1259" s="64"/>
      <c r="C1259" s="65"/>
      <c r="D1259" s="66"/>
      <c r="E1259" s="67"/>
      <c r="G1259" s="69"/>
    </row>
    <row r="1260" spans="1:7" s="68" customFormat="1" ht="15.6" x14ac:dyDescent="0.3">
      <c r="A1260" s="63"/>
      <c r="B1260" s="64"/>
      <c r="C1260" s="65"/>
      <c r="D1260" s="66"/>
      <c r="E1260" s="67"/>
      <c r="G1260" s="69"/>
    </row>
    <row r="1261" spans="1:7" s="68" customFormat="1" ht="15.6" x14ac:dyDescent="0.3">
      <c r="A1261" s="63"/>
      <c r="B1261" s="64"/>
      <c r="C1261" s="65"/>
      <c r="D1261" s="66"/>
      <c r="E1261" s="67"/>
      <c r="G1261" s="69"/>
    </row>
    <row r="1262" spans="1:7" s="68" customFormat="1" ht="15.6" x14ac:dyDescent="0.3">
      <c r="A1262" s="63"/>
      <c r="B1262" s="64"/>
      <c r="C1262" s="65"/>
      <c r="D1262" s="66"/>
      <c r="E1262" s="67"/>
      <c r="G1262" s="69"/>
    </row>
    <row r="1263" spans="1:7" s="68" customFormat="1" ht="15.6" x14ac:dyDescent="0.3">
      <c r="A1263" s="63"/>
      <c r="B1263" s="64"/>
      <c r="C1263" s="65"/>
      <c r="D1263" s="66"/>
      <c r="E1263" s="67"/>
      <c r="G1263" s="69"/>
    </row>
    <row r="1264" spans="1:7" s="68" customFormat="1" ht="15.6" x14ac:dyDescent="0.3">
      <c r="A1264" s="63"/>
      <c r="B1264" s="64"/>
      <c r="C1264" s="65"/>
      <c r="D1264" s="66"/>
      <c r="E1264" s="67"/>
      <c r="G1264" s="69"/>
    </row>
    <row r="1265" spans="1:7" s="68" customFormat="1" ht="15.6" x14ac:dyDescent="0.3">
      <c r="A1265" s="63"/>
      <c r="B1265" s="64"/>
      <c r="C1265" s="65"/>
      <c r="D1265" s="66"/>
      <c r="E1265" s="67"/>
      <c r="G1265" s="69"/>
    </row>
    <row r="1266" spans="1:7" s="68" customFormat="1" ht="15.6" x14ac:dyDescent="0.3">
      <c r="A1266" s="63"/>
      <c r="B1266" s="64"/>
      <c r="C1266" s="65"/>
      <c r="D1266" s="66"/>
      <c r="E1266" s="67"/>
      <c r="G1266" s="69"/>
    </row>
    <row r="1267" spans="1:7" s="68" customFormat="1" ht="15.6" x14ac:dyDescent="0.3">
      <c r="A1267" s="63"/>
      <c r="B1267" s="64"/>
      <c r="C1267" s="65"/>
      <c r="D1267" s="66"/>
      <c r="E1267" s="67"/>
      <c r="G1267" s="69"/>
    </row>
    <row r="1268" spans="1:7" s="68" customFormat="1" ht="15.6" x14ac:dyDescent="0.3">
      <c r="A1268" s="63"/>
      <c r="B1268" s="64"/>
      <c r="C1268" s="65"/>
      <c r="D1268" s="66"/>
      <c r="E1268" s="67"/>
      <c r="G1268" s="69"/>
    </row>
    <row r="1269" spans="1:7" s="68" customFormat="1" ht="15.6" x14ac:dyDescent="0.3">
      <c r="A1269" s="63"/>
      <c r="B1269" s="64"/>
      <c r="C1269" s="65"/>
      <c r="D1269" s="66"/>
      <c r="E1269" s="67"/>
      <c r="G1269" s="69"/>
    </row>
    <row r="1270" spans="1:7" s="68" customFormat="1" ht="15.6" x14ac:dyDescent="0.3">
      <c r="A1270" s="63"/>
      <c r="B1270" s="64"/>
      <c r="C1270" s="65"/>
      <c r="D1270" s="66"/>
      <c r="E1270" s="67"/>
      <c r="G1270" s="69"/>
    </row>
    <row r="1271" spans="1:7" s="68" customFormat="1" ht="15.6" x14ac:dyDescent="0.3">
      <c r="A1271" s="63"/>
      <c r="B1271" s="64"/>
      <c r="C1271" s="65"/>
      <c r="D1271" s="66"/>
      <c r="E1271" s="67"/>
      <c r="G1271" s="69"/>
    </row>
    <row r="1272" spans="1:7" s="68" customFormat="1" ht="15.6" x14ac:dyDescent="0.3">
      <c r="A1272" s="63"/>
      <c r="B1272" s="64"/>
      <c r="C1272" s="65"/>
      <c r="D1272" s="66"/>
      <c r="E1272" s="67"/>
      <c r="G1272" s="69"/>
    </row>
    <row r="1273" spans="1:7" s="68" customFormat="1" ht="15.6" x14ac:dyDescent="0.3">
      <c r="A1273" s="63"/>
      <c r="B1273" s="64"/>
      <c r="C1273" s="65"/>
      <c r="D1273" s="66"/>
      <c r="E1273" s="67"/>
      <c r="G1273" s="69"/>
    </row>
    <row r="1274" spans="1:7" s="68" customFormat="1" ht="15.6" x14ac:dyDescent="0.3">
      <c r="A1274" s="63"/>
      <c r="B1274" s="64"/>
      <c r="C1274" s="65"/>
      <c r="D1274" s="66"/>
      <c r="E1274" s="67"/>
      <c r="G1274" s="69"/>
    </row>
    <row r="1275" spans="1:7" s="68" customFormat="1" ht="15.6" x14ac:dyDescent="0.3">
      <c r="A1275" s="63"/>
      <c r="B1275" s="64"/>
      <c r="C1275" s="65"/>
      <c r="D1275" s="66"/>
      <c r="E1275" s="67"/>
      <c r="G1275" s="69"/>
    </row>
    <row r="1276" spans="1:7" s="68" customFormat="1" ht="15.6" x14ac:dyDescent="0.3">
      <c r="A1276" s="63"/>
      <c r="B1276" s="64"/>
      <c r="C1276" s="65"/>
      <c r="D1276" s="66"/>
      <c r="E1276" s="67"/>
      <c r="G1276" s="69"/>
    </row>
    <row r="1277" spans="1:7" s="68" customFormat="1" ht="15.6" x14ac:dyDescent="0.3">
      <c r="A1277" s="63"/>
      <c r="B1277" s="64"/>
      <c r="C1277" s="65"/>
      <c r="D1277" s="66"/>
      <c r="E1277" s="67"/>
      <c r="G1277" s="69"/>
    </row>
    <row r="1278" spans="1:7" s="68" customFormat="1" ht="15.6" x14ac:dyDescent="0.3">
      <c r="A1278" s="63"/>
      <c r="B1278" s="64"/>
      <c r="C1278" s="65"/>
      <c r="D1278" s="66"/>
      <c r="E1278" s="67"/>
      <c r="G1278" s="69"/>
    </row>
    <row r="1279" spans="1:7" s="68" customFormat="1" ht="15.6" x14ac:dyDescent="0.3">
      <c r="A1279" s="63"/>
      <c r="B1279" s="64"/>
      <c r="C1279" s="65"/>
      <c r="D1279" s="66"/>
      <c r="E1279" s="67"/>
      <c r="G1279" s="69"/>
    </row>
    <row r="1280" spans="1:7" s="68" customFormat="1" ht="15.6" x14ac:dyDescent="0.3">
      <c r="A1280" s="63"/>
      <c r="B1280" s="64"/>
      <c r="C1280" s="65"/>
      <c r="D1280" s="66"/>
      <c r="E1280" s="67"/>
      <c r="G1280" s="69"/>
    </row>
    <row r="1281" spans="1:7" s="68" customFormat="1" ht="15.6" x14ac:dyDescent="0.3">
      <c r="A1281" s="63"/>
      <c r="B1281" s="64"/>
      <c r="C1281" s="65"/>
      <c r="D1281" s="66"/>
      <c r="E1281" s="67"/>
      <c r="G1281" s="69"/>
    </row>
    <row r="1282" spans="1:7" s="68" customFormat="1" ht="15.6" x14ac:dyDescent="0.3">
      <c r="A1282" s="63"/>
      <c r="B1282" s="64"/>
      <c r="C1282" s="65"/>
      <c r="D1282" s="66"/>
      <c r="E1282" s="67"/>
      <c r="G1282" s="69"/>
    </row>
    <row r="1283" spans="1:7" s="68" customFormat="1" ht="15.6" x14ac:dyDescent="0.3">
      <c r="A1283" s="63"/>
      <c r="B1283" s="64"/>
      <c r="C1283" s="65"/>
      <c r="D1283" s="66"/>
      <c r="E1283" s="67"/>
      <c r="G1283" s="69"/>
    </row>
    <row r="1284" spans="1:7" s="68" customFormat="1" ht="15.6" x14ac:dyDescent="0.3">
      <c r="A1284" s="63"/>
      <c r="B1284" s="64"/>
      <c r="C1284" s="65"/>
      <c r="D1284" s="66"/>
      <c r="E1284" s="67"/>
      <c r="G1284" s="69"/>
    </row>
    <row r="1285" spans="1:7" s="68" customFormat="1" ht="15.6" x14ac:dyDescent="0.3">
      <c r="A1285" s="63"/>
      <c r="B1285" s="64"/>
      <c r="C1285" s="65"/>
      <c r="D1285" s="66"/>
      <c r="E1285" s="67"/>
      <c r="G1285" s="69"/>
    </row>
    <row r="1286" spans="1:7" s="68" customFormat="1" ht="15.6" x14ac:dyDescent="0.3">
      <c r="A1286" s="63"/>
      <c r="B1286" s="64"/>
      <c r="C1286" s="65"/>
      <c r="D1286" s="66"/>
      <c r="E1286" s="67"/>
      <c r="G1286" s="69"/>
    </row>
    <row r="1287" spans="1:7" s="68" customFormat="1" ht="15.6" x14ac:dyDescent="0.3">
      <c r="A1287" s="63"/>
      <c r="B1287" s="64"/>
      <c r="C1287" s="65"/>
      <c r="D1287" s="66"/>
      <c r="E1287" s="67"/>
      <c r="G1287" s="69"/>
    </row>
    <row r="1288" spans="1:7" s="68" customFormat="1" ht="15.6" x14ac:dyDescent="0.3">
      <c r="A1288" s="63"/>
      <c r="B1288" s="64"/>
      <c r="C1288" s="65"/>
      <c r="D1288" s="66"/>
      <c r="E1288" s="67"/>
      <c r="G1288" s="69"/>
    </row>
    <row r="1289" spans="1:7" s="68" customFormat="1" ht="15.6" x14ac:dyDescent="0.3">
      <c r="A1289" s="63"/>
      <c r="B1289" s="64"/>
      <c r="C1289" s="65"/>
      <c r="D1289" s="66"/>
      <c r="E1289" s="67"/>
      <c r="G1289" s="69"/>
    </row>
    <row r="1290" spans="1:7" s="68" customFormat="1" ht="15.6" x14ac:dyDescent="0.3">
      <c r="A1290" s="63"/>
      <c r="B1290" s="64"/>
      <c r="C1290" s="65"/>
      <c r="D1290" s="66"/>
      <c r="E1290" s="67"/>
      <c r="G1290" s="69"/>
    </row>
    <row r="1291" spans="1:7" s="68" customFormat="1" ht="15.6" x14ac:dyDescent="0.3">
      <c r="A1291" s="63"/>
      <c r="B1291" s="64"/>
      <c r="C1291" s="65"/>
      <c r="D1291" s="66"/>
      <c r="E1291" s="67"/>
      <c r="G1291" s="69"/>
    </row>
    <row r="1292" spans="1:7" s="68" customFormat="1" ht="15.6" x14ac:dyDescent="0.3">
      <c r="A1292" s="63"/>
      <c r="B1292" s="64"/>
      <c r="C1292" s="65"/>
      <c r="D1292" s="66"/>
      <c r="E1292" s="67"/>
      <c r="G1292" s="69"/>
    </row>
    <row r="1293" spans="1:7" s="68" customFormat="1" ht="15.6" x14ac:dyDescent="0.3">
      <c r="A1293" s="63"/>
      <c r="B1293" s="64"/>
      <c r="C1293" s="65"/>
      <c r="D1293" s="66"/>
      <c r="E1293" s="67"/>
      <c r="G1293" s="69"/>
    </row>
    <row r="1294" spans="1:7" s="68" customFormat="1" ht="15.6" x14ac:dyDescent="0.3">
      <c r="A1294" s="63"/>
      <c r="B1294" s="64"/>
      <c r="C1294" s="65"/>
      <c r="D1294" s="66"/>
      <c r="E1294" s="67"/>
      <c r="G1294" s="69"/>
    </row>
    <row r="1295" spans="1:7" s="68" customFormat="1" ht="15.6" x14ac:dyDescent="0.3">
      <c r="A1295" s="63"/>
      <c r="B1295" s="64"/>
      <c r="C1295" s="65"/>
      <c r="D1295" s="66"/>
      <c r="E1295" s="67"/>
      <c r="G1295" s="69"/>
    </row>
    <row r="1296" spans="1:7" s="68" customFormat="1" ht="15.6" x14ac:dyDescent="0.3">
      <c r="A1296" s="63"/>
      <c r="B1296" s="64"/>
      <c r="C1296" s="65"/>
      <c r="D1296" s="66"/>
      <c r="E1296" s="67"/>
      <c r="G1296" s="69"/>
    </row>
    <row r="1297" spans="1:7" s="68" customFormat="1" ht="15.6" x14ac:dyDescent="0.3">
      <c r="A1297" s="63"/>
      <c r="B1297" s="64"/>
      <c r="C1297" s="65"/>
      <c r="D1297" s="66"/>
      <c r="E1297" s="67"/>
      <c r="G1297" s="69"/>
    </row>
    <row r="1298" spans="1:7" s="68" customFormat="1" ht="15.6" x14ac:dyDescent="0.3">
      <c r="A1298" s="63"/>
      <c r="B1298" s="64"/>
      <c r="C1298" s="65"/>
      <c r="D1298" s="66"/>
      <c r="E1298" s="67"/>
      <c r="G1298" s="69"/>
    </row>
    <row r="1299" spans="1:7" s="68" customFormat="1" ht="15.6" x14ac:dyDescent="0.3">
      <c r="A1299" s="63"/>
      <c r="B1299" s="64"/>
      <c r="C1299" s="65"/>
      <c r="D1299" s="66"/>
      <c r="E1299" s="67"/>
      <c r="G1299" s="69"/>
    </row>
    <row r="1300" spans="1:7" s="68" customFormat="1" ht="15.6" x14ac:dyDescent="0.3">
      <c r="A1300" s="63"/>
      <c r="B1300" s="64"/>
      <c r="C1300" s="65"/>
      <c r="D1300" s="66"/>
      <c r="E1300" s="67"/>
      <c r="G1300" s="69"/>
    </row>
    <row r="1301" spans="1:7" s="68" customFormat="1" ht="15.6" x14ac:dyDescent="0.3">
      <c r="A1301" s="63"/>
      <c r="B1301" s="64"/>
      <c r="C1301" s="65"/>
      <c r="D1301" s="66"/>
      <c r="E1301" s="67"/>
      <c r="G1301" s="69"/>
    </row>
    <row r="1302" spans="1:7" s="68" customFormat="1" ht="15.6" x14ac:dyDescent="0.3">
      <c r="A1302" s="63"/>
      <c r="B1302" s="64"/>
      <c r="C1302" s="65"/>
      <c r="D1302" s="66"/>
      <c r="E1302" s="67"/>
      <c r="G1302" s="69"/>
    </row>
    <row r="1303" spans="1:7" s="68" customFormat="1" ht="15.6" x14ac:dyDescent="0.3">
      <c r="A1303" s="63"/>
      <c r="B1303" s="64"/>
      <c r="C1303" s="65"/>
      <c r="D1303" s="66"/>
      <c r="E1303" s="67"/>
      <c r="G1303" s="69"/>
    </row>
    <row r="1304" spans="1:7" s="68" customFormat="1" ht="15.6" x14ac:dyDescent="0.3">
      <c r="A1304" s="63"/>
      <c r="B1304" s="64"/>
      <c r="C1304" s="65"/>
      <c r="D1304" s="66"/>
      <c r="E1304" s="67"/>
      <c r="G1304" s="69"/>
    </row>
    <row r="1305" spans="1:7" s="68" customFormat="1" ht="15.6" x14ac:dyDescent="0.3">
      <c r="A1305" s="63"/>
      <c r="B1305" s="64"/>
      <c r="C1305" s="65"/>
      <c r="D1305" s="66"/>
      <c r="E1305" s="67"/>
      <c r="G1305" s="69"/>
    </row>
    <row r="1306" spans="1:7" s="68" customFormat="1" ht="15.6" x14ac:dyDescent="0.3">
      <c r="A1306" s="63"/>
      <c r="B1306" s="64"/>
      <c r="C1306" s="65"/>
      <c r="D1306" s="66"/>
      <c r="E1306" s="67"/>
      <c r="G1306" s="69"/>
    </row>
    <row r="1307" spans="1:7" s="68" customFormat="1" ht="15.6" x14ac:dyDescent="0.3">
      <c r="A1307" s="63"/>
      <c r="B1307" s="64"/>
      <c r="C1307" s="65"/>
      <c r="D1307" s="66"/>
      <c r="E1307" s="67"/>
      <c r="G1307" s="69"/>
    </row>
    <row r="1308" spans="1:7" s="68" customFormat="1" ht="15.6" x14ac:dyDescent="0.3">
      <c r="A1308" s="63"/>
      <c r="B1308" s="64"/>
      <c r="C1308" s="65"/>
      <c r="D1308" s="66"/>
      <c r="E1308" s="67"/>
      <c r="G1308" s="69"/>
    </row>
    <row r="1309" spans="1:7" s="68" customFormat="1" ht="15.6" x14ac:dyDescent="0.3">
      <c r="A1309" s="63"/>
      <c r="B1309" s="64"/>
      <c r="C1309" s="65"/>
      <c r="D1309" s="66"/>
      <c r="E1309" s="67"/>
      <c r="G1309" s="69"/>
    </row>
    <row r="1310" spans="1:7" s="68" customFormat="1" ht="15.6" x14ac:dyDescent="0.3">
      <c r="A1310" s="63"/>
      <c r="B1310" s="64"/>
      <c r="C1310" s="65"/>
      <c r="D1310" s="66"/>
      <c r="E1310" s="67"/>
      <c r="G1310" s="69"/>
    </row>
    <row r="1311" spans="1:7" s="68" customFormat="1" ht="15.6" x14ac:dyDescent="0.3">
      <c r="A1311" s="63"/>
      <c r="B1311" s="64"/>
      <c r="C1311" s="65"/>
      <c r="D1311" s="66"/>
      <c r="E1311" s="67"/>
      <c r="G1311" s="69"/>
    </row>
    <row r="1312" spans="1:7" s="68" customFormat="1" ht="15.6" x14ac:dyDescent="0.3">
      <c r="A1312" s="63"/>
      <c r="B1312" s="64"/>
      <c r="C1312" s="65"/>
      <c r="D1312" s="66"/>
      <c r="E1312" s="67"/>
      <c r="G1312" s="69"/>
    </row>
    <row r="1313" spans="1:7" s="68" customFormat="1" ht="15.6" x14ac:dyDescent="0.3">
      <c r="A1313" s="63"/>
      <c r="B1313" s="64"/>
      <c r="C1313" s="65"/>
      <c r="D1313" s="66"/>
      <c r="E1313" s="67"/>
      <c r="G1313" s="69"/>
    </row>
    <row r="1314" spans="1:7" s="68" customFormat="1" ht="15.6" x14ac:dyDescent="0.3">
      <c r="A1314" s="63"/>
      <c r="B1314" s="64"/>
      <c r="C1314" s="65"/>
      <c r="D1314" s="66"/>
      <c r="E1314" s="67"/>
      <c r="G1314" s="69"/>
    </row>
    <row r="1315" spans="1:7" s="68" customFormat="1" ht="15.6" x14ac:dyDescent="0.3">
      <c r="A1315" s="63"/>
      <c r="B1315" s="64"/>
      <c r="C1315" s="65"/>
      <c r="D1315" s="66"/>
      <c r="E1315" s="67"/>
      <c r="G1315" s="69"/>
    </row>
    <row r="1316" spans="1:7" s="68" customFormat="1" ht="15.6" x14ac:dyDescent="0.3">
      <c r="A1316" s="63"/>
      <c r="B1316" s="64"/>
      <c r="C1316" s="65"/>
      <c r="D1316" s="66"/>
      <c r="E1316" s="67"/>
      <c r="G1316" s="69"/>
    </row>
    <row r="1317" spans="1:7" s="68" customFormat="1" ht="15.6" x14ac:dyDescent="0.3">
      <c r="A1317" s="63"/>
      <c r="B1317" s="64"/>
      <c r="C1317" s="65"/>
      <c r="D1317" s="66"/>
      <c r="E1317" s="67"/>
      <c r="G1317" s="69"/>
    </row>
    <row r="1318" spans="1:7" s="68" customFormat="1" ht="15.6" x14ac:dyDescent="0.3">
      <c r="A1318" s="63"/>
      <c r="B1318" s="64"/>
      <c r="C1318" s="65"/>
      <c r="D1318" s="66"/>
      <c r="E1318" s="67"/>
      <c r="G1318" s="69"/>
    </row>
    <row r="1319" spans="1:7" s="68" customFormat="1" ht="15.6" x14ac:dyDescent="0.3">
      <c r="A1319" s="63"/>
      <c r="B1319" s="64"/>
      <c r="C1319" s="65"/>
      <c r="D1319" s="66"/>
      <c r="E1319" s="67"/>
      <c r="G1319" s="69"/>
    </row>
    <row r="1320" spans="1:7" s="68" customFormat="1" ht="15.6" x14ac:dyDescent="0.3">
      <c r="A1320" s="63"/>
      <c r="B1320" s="64"/>
      <c r="C1320" s="65"/>
      <c r="D1320" s="66"/>
      <c r="E1320" s="67"/>
      <c r="G1320" s="69"/>
    </row>
    <row r="1321" spans="1:7" s="68" customFormat="1" ht="15.6" x14ac:dyDescent="0.3">
      <c r="A1321" s="63"/>
      <c r="B1321" s="64"/>
      <c r="C1321" s="65"/>
      <c r="D1321" s="66"/>
      <c r="E1321" s="67"/>
      <c r="G1321" s="69"/>
    </row>
    <row r="1322" spans="1:7" s="68" customFormat="1" ht="15.6" x14ac:dyDescent="0.3">
      <c r="A1322" s="63"/>
      <c r="B1322" s="64"/>
      <c r="C1322" s="65"/>
      <c r="D1322" s="66"/>
      <c r="E1322" s="67"/>
      <c r="G1322" s="69"/>
    </row>
    <row r="1323" spans="1:7" s="68" customFormat="1" ht="15.6" x14ac:dyDescent="0.3">
      <c r="A1323" s="63"/>
      <c r="B1323" s="64"/>
      <c r="C1323" s="65"/>
      <c r="D1323" s="66"/>
      <c r="E1323" s="67"/>
      <c r="G1323" s="69"/>
    </row>
    <row r="1324" spans="1:7" s="68" customFormat="1" ht="15.6" x14ac:dyDescent="0.3">
      <c r="A1324" s="63"/>
      <c r="B1324" s="64"/>
      <c r="C1324" s="65"/>
      <c r="D1324" s="66"/>
      <c r="E1324" s="67"/>
      <c r="G1324" s="69"/>
    </row>
    <row r="1325" spans="1:7" s="68" customFormat="1" ht="15.6" x14ac:dyDescent="0.3">
      <c r="A1325" s="63"/>
      <c r="B1325" s="64"/>
      <c r="C1325" s="65"/>
      <c r="D1325" s="66"/>
      <c r="E1325" s="67"/>
      <c r="G1325" s="69"/>
    </row>
    <row r="1326" spans="1:7" s="68" customFormat="1" ht="15.6" x14ac:dyDescent="0.3">
      <c r="A1326" s="63"/>
      <c r="B1326" s="64"/>
      <c r="C1326" s="65"/>
      <c r="D1326" s="66"/>
      <c r="E1326" s="67"/>
      <c r="G1326" s="69"/>
    </row>
    <row r="1327" spans="1:7" s="68" customFormat="1" ht="15.6" x14ac:dyDescent="0.3">
      <c r="A1327" s="63"/>
      <c r="B1327" s="64"/>
      <c r="C1327" s="65"/>
      <c r="D1327" s="66"/>
      <c r="E1327" s="67"/>
      <c r="G1327" s="69"/>
    </row>
    <row r="1328" spans="1:7" s="68" customFormat="1" ht="15.6" x14ac:dyDescent="0.3">
      <c r="A1328" s="63"/>
      <c r="B1328" s="64"/>
      <c r="C1328" s="65"/>
      <c r="D1328" s="66"/>
      <c r="E1328" s="67"/>
      <c r="G1328" s="69"/>
    </row>
    <row r="1329" spans="1:7" s="68" customFormat="1" ht="15.6" x14ac:dyDescent="0.3">
      <c r="A1329" s="63"/>
      <c r="B1329" s="64"/>
      <c r="C1329" s="65"/>
      <c r="D1329" s="66"/>
      <c r="E1329" s="67"/>
      <c r="G1329" s="69"/>
    </row>
    <row r="1330" spans="1:7" s="68" customFormat="1" ht="15.6" x14ac:dyDescent="0.3">
      <c r="A1330" s="63"/>
      <c r="B1330" s="64"/>
      <c r="C1330" s="65"/>
      <c r="D1330" s="66"/>
      <c r="E1330" s="67"/>
      <c r="G1330" s="69"/>
    </row>
    <row r="1331" spans="1:7" s="68" customFormat="1" ht="15.6" x14ac:dyDescent="0.3">
      <c r="A1331" s="63"/>
      <c r="B1331" s="64"/>
      <c r="C1331" s="65"/>
      <c r="D1331" s="66"/>
      <c r="E1331" s="67"/>
      <c r="G1331" s="69"/>
    </row>
    <row r="1332" spans="1:7" s="68" customFormat="1" ht="15.6" x14ac:dyDescent="0.3">
      <c r="A1332" s="63"/>
      <c r="B1332" s="64"/>
      <c r="C1332" s="65"/>
      <c r="D1332" s="66"/>
      <c r="E1332" s="67"/>
      <c r="G1332" s="69"/>
    </row>
    <row r="1333" spans="1:7" s="68" customFormat="1" ht="15.6" x14ac:dyDescent="0.3">
      <c r="A1333" s="63"/>
      <c r="B1333" s="64"/>
      <c r="C1333" s="65"/>
      <c r="D1333" s="66"/>
      <c r="E1333" s="67"/>
      <c r="G1333" s="69"/>
    </row>
    <row r="1334" spans="1:7" s="68" customFormat="1" ht="15.6" x14ac:dyDescent="0.3">
      <c r="A1334" s="63"/>
      <c r="B1334" s="64"/>
      <c r="C1334" s="65"/>
      <c r="D1334" s="66"/>
      <c r="E1334" s="67"/>
      <c r="G1334" s="69"/>
    </row>
    <row r="1335" spans="1:7" s="68" customFormat="1" ht="15.6" x14ac:dyDescent="0.3">
      <c r="A1335" s="63"/>
      <c r="B1335" s="64"/>
      <c r="C1335" s="65"/>
      <c r="D1335" s="66"/>
      <c r="E1335" s="67"/>
      <c r="G1335" s="69"/>
    </row>
    <row r="1336" spans="1:7" s="68" customFormat="1" ht="15.6" x14ac:dyDescent="0.3">
      <c r="A1336" s="63"/>
      <c r="B1336" s="64"/>
      <c r="C1336" s="65"/>
      <c r="D1336" s="66"/>
      <c r="E1336" s="67"/>
      <c r="G1336" s="69"/>
    </row>
    <row r="1337" spans="1:7" s="68" customFormat="1" ht="15.6" x14ac:dyDescent="0.3">
      <c r="A1337" s="63"/>
      <c r="B1337" s="64"/>
      <c r="C1337" s="65"/>
      <c r="D1337" s="66"/>
      <c r="E1337" s="67"/>
      <c r="G1337" s="69"/>
    </row>
    <row r="1338" spans="1:7" s="68" customFormat="1" ht="15.6" x14ac:dyDescent="0.3">
      <c r="A1338" s="63"/>
      <c r="B1338" s="64"/>
      <c r="C1338" s="65"/>
      <c r="D1338" s="66"/>
      <c r="E1338" s="67"/>
      <c r="G1338" s="69"/>
    </row>
    <row r="1339" spans="1:7" s="68" customFormat="1" ht="15.6" x14ac:dyDescent="0.3">
      <c r="A1339" s="63"/>
      <c r="B1339" s="64"/>
      <c r="C1339" s="65"/>
      <c r="D1339" s="66"/>
      <c r="E1339" s="67"/>
      <c r="G1339" s="69"/>
    </row>
    <row r="1340" spans="1:7" s="68" customFormat="1" ht="15.6" x14ac:dyDescent="0.3">
      <c r="A1340" s="63"/>
      <c r="B1340" s="64"/>
      <c r="C1340" s="65"/>
      <c r="D1340" s="66"/>
      <c r="E1340" s="67"/>
      <c r="G1340" s="69"/>
    </row>
    <row r="1341" spans="1:7" s="68" customFormat="1" ht="15.6" x14ac:dyDescent="0.3">
      <c r="A1341" s="63"/>
      <c r="B1341" s="64"/>
      <c r="C1341" s="65"/>
      <c r="D1341" s="66"/>
      <c r="E1341" s="67"/>
      <c r="G1341" s="69"/>
    </row>
    <row r="1342" spans="1:7" s="68" customFormat="1" ht="15.6" x14ac:dyDescent="0.3">
      <c r="A1342" s="63"/>
      <c r="B1342" s="64"/>
      <c r="C1342" s="65"/>
      <c r="D1342" s="66"/>
      <c r="E1342" s="67"/>
      <c r="G1342" s="69"/>
    </row>
    <row r="1343" spans="1:7" s="68" customFormat="1" ht="15.6" x14ac:dyDescent="0.3">
      <c r="A1343" s="63"/>
      <c r="B1343" s="64"/>
      <c r="C1343" s="65"/>
      <c r="D1343" s="66"/>
      <c r="E1343" s="67"/>
      <c r="G1343" s="69"/>
    </row>
    <row r="1344" spans="1:7" s="68" customFormat="1" ht="15.6" x14ac:dyDescent="0.3">
      <c r="A1344" s="63"/>
      <c r="B1344" s="64"/>
      <c r="C1344" s="65"/>
      <c r="D1344" s="66"/>
      <c r="E1344" s="67"/>
      <c r="G1344" s="69"/>
    </row>
    <row r="1345" spans="1:7" s="68" customFormat="1" ht="15.6" x14ac:dyDescent="0.3">
      <c r="A1345" s="63"/>
      <c r="B1345" s="64"/>
      <c r="C1345" s="65"/>
      <c r="D1345" s="66"/>
      <c r="E1345" s="67"/>
      <c r="G1345" s="69"/>
    </row>
    <row r="1346" spans="1:7" s="68" customFormat="1" ht="15.6" x14ac:dyDescent="0.3">
      <c r="A1346" s="63"/>
      <c r="B1346" s="64"/>
      <c r="C1346" s="65"/>
      <c r="D1346" s="66"/>
      <c r="E1346" s="67"/>
      <c r="G1346" s="69"/>
    </row>
    <row r="1347" spans="1:7" s="68" customFormat="1" ht="15.6" x14ac:dyDescent="0.3">
      <c r="A1347" s="63"/>
      <c r="B1347" s="64"/>
      <c r="C1347" s="65"/>
      <c r="D1347" s="66"/>
      <c r="E1347" s="67"/>
      <c r="G1347" s="69"/>
    </row>
    <row r="1348" spans="1:7" s="68" customFormat="1" ht="15.6" x14ac:dyDescent="0.3">
      <c r="A1348" s="63"/>
      <c r="B1348" s="64"/>
      <c r="C1348" s="65"/>
      <c r="D1348" s="66"/>
      <c r="E1348" s="67"/>
      <c r="G1348" s="69"/>
    </row>
    <row r="1349" spans="1:7" s="68" customFormat="1" ht="15.6" x14ac:dyDescent="0.3">
      <c r="A1349" s="63"/>
      <c r="B1349" s="64"/>
      <c r="C1349" s="65"/>
      <c r="D1349" s="66"/>
      <c r="E1349" s="67"/>
      <c r="G1349" s="69"/>
    </row>
    <row r="1350" spans="1:7" s="68" customFormat="1" ht="15.6" x14ac:dyDescent="0.3">
      <c r="A1350" s="63"/>
      <c r="B1350" s="64"/>
      <c r="C1350" s="65"/>
      <c r="D1350" s="66"/>
      <c r="E1350" s="67"/>
      <c r="G1350" s="69"/>
    </row>
    <row r="1351" spans="1:7" s="68" customFormat="1" ht="15.6" x14ac:dyDescent="0.3">
      <c r="A1351" s="63"/>
      <c r="B1351" s="64"/>
      <c r="C1351" s="65"/>
      <c r="D1351" s="66"/>
      <c r="E1351" s="67"/>
      <c r="G1351" s="69"/>
    </row>
    <row r="1352" spans="1:7" s="68" customFormat="1" ht="15.6" x14ac:dyDescent="0.3">
      <c r="A1352" s="63"/>
      <c r="B1352" s="64"/>
      <c r="C1352" s="65"/>
      <c r="D1352" s="66"/>
      <c r="E1352" s="67"/>
      <c r="G1352" s="69"/>
    </row>
    <row r="1353" spans="1:7" s="68" customFormat="1" ht="15.6" x14ac:dyDescent="0.3">
      <c r="A1353" s="63"/>
      <c r="B1353" s="64"/>
      <c r="C1353" s="65"/>
      <c r="D1353" s="66"/>
      <c r="E1353" s="67"/>
      <c r="G1353" s="69"/>
    </row>
    <row r="1354" spans="1:7" s="68" customFormat="1" ht="15.6" x14ac:dyDescent="0.3">
      <c r="A1354" s="63"/>
      <c r="B1354" s="64"/>
      <c r="C1354" s="65"/>
      <c r="D1354" s="66"/>
      <c r="E1354" s="67"/>
      <c r="G1354" s="69"/>
    </row>
    <row r="1355" spans="1:7" s="68" customFormat="1" ht="15.6" x14ac:dyDescent="0.3">
      <c r="A1355" s="63"/>
      <c r="B1355" s="64"/>
      <c r="C1355" s="65"/>
      <c r="D1355" s="66"/>
      <c r="E1355" s="67"/>
      <c r="G1355" s="69"/>
    </row>
    <row r="1356" spans="1:7" s="68" customFormat="1" ht="15.6" x14ac:dyDescent="0.3">
      <c r="A1356" s="63"/>
      <c r="B1356" s="64"/>
      <c r="C1356" s="65"/>
      <c r="D1356" s="66"/>
      <c r="E1356" s="67"/>
      <c r="G1356" s="69"/>
    </row>
    <row r="1357" spans="1:7" s="68" customFormat="1" ht="15.6" x14ac:dyDescent="0.3">
      <c r="A1357" s="63"/>
      <c r="B1357" s="64"/>
      <c r="C1357" s="65"/>
      <c r="D1357" s="66"/>
      <c r="E1357" s="67"/>
      <c r="G1357" s="69"/>
    </row>
    <row r="1358" spans="1:7" s="68" customFormat="1" ht="15.6" x14ac:dyDescent="0.3">
      <c r="A1358" s="63"/>
      <c r="B1358" s="64"/>
      <c r="C1358" s="65"/>
      <c r="D1358" s="66"/>
      <c r="E1358" s="67"/>
      <c r="G1358" s="69"/>
    </row>
    <row r="1359" spans="1:7" s="68" customFormat="1" ht="15.6" x14ac:dyDescent="0.3">
      <c r="A1359" s="63"/>
      <c r="B1359" s="64"/>
      <c r="C1359" s="65"/>
      <c r="D1359" s="66"/>
      <c r="E1359" s="67"/>
      <c r="G1359" s="69"/>
    </row>
    <row r="1360" spans="1:7" s="68" customFormat="1" ht="15.6" x14ac:dyDescent="0.3">
      <c r="A1360" s="63"/>
      <c r="B1360" s="64"/>
      <c r="C1360" s="65"/>
      <c r="D1360" s="66"/>
      <c r="E1360" s="67"/>
      <c r="G1360" s="69"/>
    </row>
    <row r="1361" spans="1:7" s="68" customFormat="1" ht="15.6" x14ac:dyDescent="0.3">
      <c r="A1361" s="63"/>
      <c r="B1361" s="64"/>
      <c r="C1361" s="65"/>
      <c r="D1361" s="66"/>
      <c r="E1361" s="67"/>
      <c r="G1361" s="69"/>
    </row>
    <row r="1362" spans="1:7" s="68" customFormat="1" ht="15.6" x14ac:dyDescent="0.3">
      <c r="A1362" s="63"/>
      <c r="B1362" s="64"/>
      <c r="C1362" s="65"/>
      <c r="D1362" s="66"/>
      <c r="E1362" s="67"/>
      <c r="G1362" s="69"/>
    </row>
    <row r="1363" spans="1:7" s="68" customFormat="1" ht="15.6" x14ac:dyDescent="0.3">
      <c r="A1363" s="63"/>
      <c r="B1363" s="64"/>
      <c r="C1363" s="65"/>
      <c r="D1363" s="66"/>
      <c r="E1363" s="67"/>
      <c r="G1363" s="69"/>
    </row>
    <row r="1364" spans="1:7" s="68" customFormat="1" ht="15.6" x14ac:dyDescent="0.3">
      <c r="A1364" s="63"/>
      <c r="B1364" s="64"/>
      <c r="C1364" s="65"/>
      <c r="D1364" s="66"/>
      <c r="E1364" s="67"/>
      <c r="G1364" s="69"/>
    </row>
    <row r="1365" spans="1:7" s="68" customFormat="1" ht="15.6" x14ac:dyDescent="0.3">
      <c r="A1365" s="63"/>
      <c r="B1365" s="64"/>
      <c r="C1365" s="65"/>
      <c r="D1365" s="66"/>
      <c r="E1365" s="67"/>
      <c r="G1365" s="69"/>
    </row>
    <row r="1366" spans="1:7" s="68" customFormat="1" ht="15.6" x14ac:dyDescent="0.3">
      <c r="A1366" s="63"/>
      <c r="B1366" s="64"/>
      <c r="C1366" s="65"/>
      <c r="D1366" s="66"/>
      <c r="E1366" s="67"/>
      <c r="G1366" s="69"/>
    </row>
    <row r="1367" spans="1:7" s="68" customFormat="1" ht="15.6" x14ac:dyDescent="0.3">
      <c r="A1367" s="63"/>
      <c r="B1367" s="64"/>
      <c r="C1367" s="65"/>
      <c r="D1367" s="66"/>
      <c r="E1367" s="67"/>
      <c r="G1367" s="69"/>
    </row>
    <row r="1368" spans="1:7" s="68" customFormat="1" ht="15.6" x14ac:dyDescent="0.3">
      <c r="A1368" s="63"/>
      <c r="B1368" s="64"/>
      <c r="C1368" s="65"/>
      <c r="D1368" s="66"/>
      <c r="E1368" s="67"/>
      <c r="G1368" s="69"/>
    </row>
    <row r="1369" spans="1:7" s="68" customFormat="1" ht="15.6" x14ac:dyDescent="0.3">
      <c r="A1369" s="63"/>
      <c r="B1369" s="64"/>
      <c r="C1369" s="65"/>
      <c r="D1369" s="66"/>
      <c r="E1369" s="67"/>
      <c r="G1369" s="69"/>
    </row>
    <row r="1370" spans="1:7" s="68" customFormat="1" ht="15.6" x14ac:dyDescent="0.3">
      <c r="A1370" s="63"/>
      <c r="B1370" s="64"/>
      <c r="C1370" s="65"/>
      <c r="D1370" s="66"/>
      <c r="E1370" s="67"/>
      <c r="G1370" s="69"/>
    </row>
    <row r="1371" spans="1:7" s="68" customFormat="1" ht="15.6" x14ac:dyDescent="0.3">
      <c r="A1371" s="63"/>
      <c r="B1371" s="64"/>
      <c r="C1371" s="65"/>
      <c r="D1371" s="66"/>
      <c r="E1371" s="67"/>
      <c r="G1371" s="69"/>
    </row>
    <row r="1372" spans="1:7" s="68" customFormat="1" ht="15.6" x14ac:dyDescent="0.3">
      <c r="A1372" s="63"/>
      <c r="B1372" s="64"/>
      <c r="C1372" s="65"/>
      <c r="D1372" s="66"/>
      <c r="E1372" s="67"/>
      <c r="G1372" s="69"/>
    </row>
    <row r="1373" spans="1:7" s="68" customFormat="1" ht="15.6" x14ac:dyDescent="0.3">
      <c r="A1373" s="63"/>
      <c r="B1373" s="64"/>
      <c r="C1373" s="65"/>
      <c r="D1373" s="66"/>
      <c r="E1373" s="67"/>
      <c r="G1373" s="69"/>
    </row>
    <row r="1374" spans="1:7" s="68" customFormat="1" ht="15.6" x14ac:dyDescent="0.3">
      <c r="A1374" s="63"/>
      <c r="B1374" s="64"/>
      <c r="C1374" s="65"/>
      <c r="D1374" s="66"/>
      <c r="E1374" s="67"/>
      <c r="G1374" s="69"/>
    </row>
    <row r="1375" spans="1:7" s="68" customFormat="1" ht="15.6" x14ac:dyDescent="0.3">
      <c r="A1375" s="63"/>
      <c r="B1375" s="64"/>
      <c r="C1375" s="65"/>
      <c r="D1375" s="66"/>
      <c r="E1375" s="67"/>
      <c r="G1375" s="69"/>
    </row>
    <row r="1376" spans="1:7" s="68" customFormat="1" ht="15.6" x14ac:dyDescent="0.3">
      <c r="A1376" s="63"/>
      <c r="B1376" s="64"/>
      <c r="C1376" s="65"/>
      <c r="D1376" s="66"/>
      <c r="E1376" s="67"/>
      <c r="G1376" s="69"/>
    </row>
    <row r="1377" spans="1:7" s="68" customFormat="1" ht="15.6" x14ac:dyDescent="0.3">
      <c r="A1377" s="63"/>
      <c r="B1377" s="64"/>
      <c r="C1377" s="65"/>
      <c r="D1377" s="66"/>
      <c r="E1377" s="67"/>
      <c r="G1377" s="69"/>
    </row>
    <row r="1378" spans="1:7" s="68" customFormat="1" ht="15.6" x14ac:dyDescent="0.3">
      <c r="A1378" s="63"/>
      <c r="B1378" s="64"/>
      <c r="C1378" s="65"/>
      <c r="D1378" s="66"/>
      <c r="E1378" s="67"/>
      <c r="G1378" s="69"/>
    </row>
    <row r="1379" spans="1:7" s="68" customFormat="1" ht="15.6" x14ac:dyDescent="0.3">
      <c r="A1379" s="63"/>
      <c r="B1379" s="64"/>
      <c r="C1379" s="65"/>
      <c r="D1379" s="66"/>
      <c r="E1379" s="67"/>
      <c r="G1379" s="69"/>
    </row>
    <row r="1380" spans="1:7" s="68" customFormat="1" ht="15.6" x14ac:dyDescent="0.3">
      <c r="A1380" s="63"/>
      <c r="B1380" s="64"/>
      <c r="C1380" s="65"/>
      <c r="D1380" s="66"/>
      <c r="E1380" s="67"/>
      <c r="G1380" s="69"/>
    </row>
    <row r="1381" spans="1:7" s="68" customFormat="1" ht="15.6" x14ac:dyDescent="0.3">
      <c r="A1381" s="63"/>
      <c r="B1381" s="64"/>
      <c r="C1381" s="65"/>
      <c r="D1381" s="66"/>
      <c r="E1381" s="67"/>
      <c r="G1381" s="69"/>
    </row>
    <row r="1382" spans="1:7" s="68" customFormat="1" ht="15.6" x14ac:dyDescent="0.3">
      <c r="A1382" s="63"/>
      <c r="B1382" s="64"/>
      <c r="C1382" s="65"/>
      <c r="D1382" s="66"/>
      <c r="E1382" s="67"/>
      <c r="G1382" s="69"/>
    </row>
    <row r="1383" spans="1:7" s="68" customFormat="1" ht="15.6" x14ac:dyDescent="0.3">
      <c r="A1383" s="63"/>
      <c r="B1383" s="64"/>
      <c r="C1383" s="65"/>
      <c r="D1383" s="66"/>
      <c r="E1383" s="67"/>
      <c r="G1383" s="69"/>
    </row>
    <row r="1384" spans="1:7" s="68" customFormat="1" ht="15.6" x14ac:dyDescent="0.3">
      <c r="A1384" s="63"/>
      <c r="B1384" s="64"/>
      <c r="C1384" s="65"/>
      <c r="D1384" s="66"/>
      <c r="E1384" s="67"/>
      <c r="G1384" s="69"/>
    </row>
    <row r="1385" spans="1:7" s="68" customFormat="1" ht="15.6" x14ac:dyDescent="0.3">
      <c r="A1385" s="63"/>
      <c r="B1385" s="64"/>
      <c r="C1385" s="65"/>
      <c r="D1385" s="66"/>
      <c r="E1385" s="67"/>
      <c r="G1385" s="69"/>
    </row>
    <row r="1386" spans="1:7" s="68" customFormat="1" ht="15.6" x14ac:dyDescent="0.3">
      <c r="A1386" s="63"/>
      <c r="B1386" s="64"/>
      <c r="C1386" s="65"/>
      <c r="D1386" s="66"/>
      <c r="E1386" s="67"/>
      <c r="G1386" s="69"/>
    </row>
    <row r="1387" spans="1:7" s="68" customFormat="1" ht="15.6" x14ac:dyDescent="0.3">
      <c r="A1387" s="63"/>
      <c r="B1387" s="64"/>
      <c r="C1387" s="65"/>
      <c r="D1387" s="66"/>
      <c r="E1387" s="67"/>
      <c r="G1387" s="69"/>
    </row>
    <row r="1388" spans="1:7" s="68" customFormat="1" ht="15.6" x14ac:dyDescent="0.3">
      <c r="A1388" s="63"/>
      <c r="B1388" s="64"/>
      <c r="C1388" s="65"/>
      <c r="D1388" s="66"/>
      <c r="E1388" s="67"/>
      <c r="G1388" s="69"/>
    </row>
    <row r="1389" spans="1:7" s="68" customFormat="1" ht="15.6" x14ac:dyDescent="0.3">
      <c r="A1389" s="63"/>
      <c r="B1389" s="64"/>
      <c r="C1389" s="65"/>
      <c r="D1389" s="66"/>
      <c r="E1389" s="67"/>
      <c r="G1389" s="69"/>
    </row>
    <row r="1390" spans="1:7" s="68" customFormat="1" ht="15.6" x14ac:dyDescent="0.3">
      <c r="A1390" s="63"/>
      <c r="B1390" s="64"/>
      <c r="C1390" s="65"/>
      <c r="D1390" s="66"/>
      <c r="E1390" s="67"/>
      <c r="G1390" s="69"/>
    </row>
    <row r="1391" spans="1:7" s="68" customFormat="1" ht="15.6" x14ac:dyDescent="0.3">
      <c r="A1391" s="63"/>
      <c r="B1391" s="64"/>
      <c r="C1391" s="65"/>
      <c r="D1391" s="66"/>
      <c r="E1391" s="67"/>
      <c r="G1391" s="69"/>
    </row>
    <row r="1392" spans="1:7" s="68" customFormat="1" ht="15.6" x14ac:dyDescent="0.3">
      <c r="A1392" s="63"/>
      <c r="B1392" s="64"/>
      <c r="C1392" s="65"/>
      <c r="D1392" s="66"/>
      <c r="E1392" s="67"/>
      <c r="G1392" s="69"/>
    </row>
    <row r="1393" spans="1:7" s="68" customFormat="1" ht="15.6" x14ac:dyDescent="0.3">
      <c r="A1393" s="63"/>
      <c r="B1393" s="64"/>
      <c r="C1393" s="65"/>
      <c r="D1393" s="66"/>
      <c r="E1393" s="67"/>
      <c r="G1393" s="69"/>
    </row>
    <row r="1394" spans="1:7" s="68" customFormat="1" ht="15.6" x14ac:dyDescent="0.3">
      <c r="A1394" s="63"/>
      <c r="B1394" s="64"/>
      <c r="C1394" s="65"/>
      <c r="D1394" s="66"/>
      <c r="E1394" s="67"/>
      <c r="G1394" s="69"/>
    </row>
    <row r="1395" spans="1:7" s="68" customFormat="1" ht="15.6" x14ac:dyDescent="0.3">
      <c r="A1395" s="63"/>
      <c r="B1395" s="64"/>
      <c r="C1395" s="65"/>
      <c r="D1395" s="66"/>
      <c r="E1395" s="67"/>
      <c r="G1395" s="69"/>
    </row>
    <row r="1396" spans="1:7" s="68" customFormat="1" ht="15.6" x14ac:dyDescent="0.3">
      <c r="A1396" s="63"/>
      <c r="B1396" s="64"/>
      <c r="C1396" s="65"/>
      <c r="D1396" s="66"/>
      <c r="E1396" s="67"/>
      <c r="G1396" s="69"/>
    </row>
    <row r="1397" spans="1:7" s="68" customFormat="1" ht="15.6" x14ac:dyDescent="0.3">
      <c r="A1397" s="63"/>
      <c r="B1397" s="64"/>
      <c r="C1397" s="65"/>
      <c r="D1397" s="66"/>
      <c r="E1397" s="67"/>
      <c r="G1397" s="69"/>
    </row>
    <row r="1398" spans="1:7" s="68" customFormat="1" ht="15.6" x14ac:dyDescent="0.3">
      <c r="A1398" s="63"/>
      <c r="B1398" s="64"/>
      <c r="C1398" s="65"/>
      <c r="D1398" s="66"/>
      <c r="E1398" s="67"/>
      <c r="G1398" s="69"/>
    </row>
    <row r="1399" spans="1:7" s="68" customFormat="1" ht="15.6" x14ac:dyDescent="0.3">
      <c r="A1399" s="63"/>
      <c r="B1399" s="64"/>
      <c r="C1399" s="65"/>
      <c r="D1399" s="66"/>
      <c r="E1399" s="67"/>
      <c r="G1399" s="69"/>
    </row>
    <row r="1400" spans="1:7" s="68" customFormat="1" ht="15.6" x14ac:dyDescent="0.3">
      <c r="A1400" s="63"/>
      <c r="B1400" s="64"/>
      <c r="C1400" s="65"/>
      <c r="D1400" s="66"/>
      <c r="E1400" s="67"/>
      <c r="G1400" s="69"/>
    </row>
    <row r="1401" spans="1:7" s="68" customFormat="1" ht="15.6" x14ac:dyDescent="0.3">
      <c r="A1401" s="63"/>
      <c r="B1401" s="64"/>
      <c r="C1401" s="65"/>
      <c r="D1401" s="66"/>
      <c r="E1401" s="67"/>
      <c r="G1401" s="69"/>
    </row>
    <row r="1402" spans="1:7" s="68" customFormat="1" ht="15.6" x14ac:dyDescent="0.3">
      <c r="A1402" s="63"/>
      <c r="B1402" s="64"/>
      <c r="C1402" s="65"/>
      <c r="D1402" s="66"/>
      <c r="E1402" s="67"/>
      <c r="G1402" s="69"/>
    </row>
    <row r="1403" spans="1:7" s="68" customFormat="1" ht="15.6" x14ac:dyDescent="0.3">
      <c r="A1403" s="63"/>
      <c r="B1403" s="64"/>
      <c r="C1403" s="65"/>
      <c r="D1403" s="66"/>
      <c r="E1403" s="67"/>
      <c r="G1403" s="69"/>
    </row>
    <row r="1404" spans="1:7" s="68" customFormat="1" ht="15.6" x14ac:dyDescent="0.3">
      <c r="A1404" s="63"/>
      <c r="B1404" s="64"/>
      <c r="C1404" s="65"/>
      <c r="D1404" s="66"/>
      <c r="E1404" s="67"/>
      <c r="G1404" s="69"/>
    </row>
    <row r="1405" spans="1:7" s="68" customFormat="1" ht="15.6" x14ac:dyDescent="0.3">
      <c r="A1405" s="63"/>
      <c r="B1405" s="64"/>
      <c r="C1405" s="65"/>
      <c r="D1405" s="66"/>
      <c r="E1405" s="67"/>
      <c r="G1405" s="69"/>
    </row>
    <row r="1406" spans="1:7" s="68" customFormat="1" ht="15.6" x14ac:dyDescent="0.3">
      <c r="A1406" s="63"/>
      <c r="B1406" s="64"/>
      <c r="C1406" s="65"/>
      <c r="D1406" s="66"/>
      <c r="E1406" s="67"/>
      <c r="G1406" s="69"/>
    </row>
    <row r="1407" spans="1:7" s="68" customFormat="1" ht="15.6" x14ac:dyDescent="0.3">
      <c r="A1407" s="63"/>
      <c r="B1407" s="64"/>
      <c r="C1407" s="65"/>
      <c r="D1407" s="66"/>
      <c r="E1407" s="67"/>
      <c r="G1407" s="69"/>
    </row>
    <row r="1408" spans="1:7" s="68" customFormat="1" ht="15.6" x14ac:dyDescent="0.3">
      <c r="A1408" s="63"/>
      <c r="B1408" s="64"/>
      <c r="C1408" s="65"/>
      <c r="D1408" s="66"/>
      <c r="E1408" s="67"/>
      <c r="G1408" s="69"/>
    </row>
    <row r="1409" spans="1:7" s="68" customFormat="1" ht="15.6" x14ac:dyDescent="0.3">
      <c r="A1409" s="63"/>
      <c r="B1409" s="64"/>
      <c r="C1409" s="65"/>
      <c r="D1409" s="66"/>
      <c r="E1409" s="67"/>
      <c r="G1409" s="69"/>
    </row>
    <row r="1410" spans="1:7" s="68" customFormat="1" ht="15.6" x14ac:dyDescent="0.3">
      <c r="A1410" s="63"/>
      <c r="B1410" s="64"/>
      <c r="C1410" s="65"/>
      <c r="D1410" s="66"/>
      <c r="E1410" s="67"/>
      <c r="G1410" s="69"/>
    </row>
    <row r="1411" spans="1:7" s="68" customFormat="1" ht="15.6" x14ac:dyDescent="0.3">
      <c r="A1411" s="63"/>
      <c r="B1411" s="64"/>
      <c r="C1411" s="65"/>
      <c r="D1411" s="66"/>
      <c r="E1411" s="67"/>
      <c r="G1411" s="69"/>
    </row>
    <row r="1412" spans="1:7" s="68" customFormat="1" ht="15.6" x14ac:dyDescent="0.3">
      <c r="A1412" s="63"/>
      <c r="B1412" s="64"/>
      <c r="C1412" s="65"/>
      <c r="D1412" s="66"/>
      <c r="E1412" s="67"/>
      <c r="G1412" s="69"/>
    </row>
    <row r="1413" spans="1:7" s="68" customFormat="1" ht="15.6" x14ac:dyDescent="0.3">
      <c r="A1413" s="63"/>
      <c r="B1413" s="64"/>
      <c r="C1413" s="65"/>
      <c r="D1413" s="66"/>
      <c r="E1413" s="67"/>
      <c r="G1413" s="69"/>
    </row>
    <row r="1414" spans="1:7" s="68" customFormat="1" ht="15.6" x14ac:dyDescent="0.3">
      <c r="A1414" s="63"/>
      <c r="B1414" s="64"/>
      <c r="C1414" s="65"/>
      <c r="D1414" s="66"/>
      <c r="E1414" s="67"/>
      <c r="G1414" s="69"/>
    </row>
    <row r="1415" spans="1:7" s="68" customFormat="1" ht="15.6" x14ac:dyDescent="0.3">
      <c r="A1415" s="63"/>
      <c r="B1415" s="64"/>
      <c r="C1415" s="65"/>
      <c r="D1415" s="66"/>
      <c r="E1415" s="67"/>
      <c r="G1415" s="69"/>
    </row>
    <row r="1416" spans="1:7" s="68" customFormat="1" ht="15.6" x14ac:dyDescent="0.3">
      <c r="A1416" s="63"/>
      <c r="B1416" s="64"/>
      <c r="C1416" s="65"/>
      <c r="D1416" s="66"/>
      <c r="E1416" s="67"/>
      <c r="G1416" s="69"/>
    </row>
    <row r="1417" spans="1:7" s="68" customFormat="1" ht="15.6" x14ac:dyDescent="0.3">
      <c r="A1417" s="63"/>
      <c r="B1417" s="64"/>
      <c r="C1417" s="65"/>
      <c r="D1417" s="66"/>
      <c r="E1417" s="67"/>
      <c r="G1417" s="69"/>
    </row>
    <row r="1418" spans="1:7" s="68" customFormat="1" ht="15.6" x14ac:dyDescent="0.3">
      <c r="A1418" s="63"/>
      <c r="B1418" s="64"/>
      <c r="C1418" s="65"/>
      <c r="D1418" s="66"/>
      <c r="E1418" s="67"/>
      <c r="G1418" s="69"/>
    </row>
    <row r="1419" spans="1:7" s="68" customFormat="1" ht="15.6" x14ac:dyDescent="0.3">
      <c r="A1419" s="63"/>
      <c r="B1419" s="64"/>
      <c r="C1419" s="65"/>
      <c r="D1419" s="66"/>
      <c r="E1419" s="67"/>
      <c r="G1419" s="69"/>
    </row>
    <row r="1420" spans="1:7" s="68" customFormat="1" ht="15.6" x14ac:dyDescent="0.3">
      <c r="A1420" s="63"/>
      <c r="B1420" s="64"/>
      <c r="C1420" s="65"/>
      <c r="D1420" s="66"/>
      <c r="E1420" s="67"/>
      <c r="G1420" s="69"/>
    </row>
    <row r="1421" spans="1:7" s="68" customFormat="1" ht="15.6" x14ac:dyDescent="0.3">
      <c r="A1421" s="63"/>
      <c r="B1421" s="64"/>
      <c r="C1421" s="65"/>
      <c r="D1421" s="66"/>
      <c r="E1421" s="67"/>
      <c r="G1421" s="69"/>
    </row>
    <row r="1422" spans="1:7" s="68" customFormat="1" ht="15.6" x14ac:dyDescent="0.3">
      <c r="A1422" s="63"/>
      <c r="B1422" s="64"/>
      <c r="C1422" s="65"/>
      <c r="D1422" s="66"/>
      <c r="E1422" s="67"/>
      <c r="G1422" s="69"/>
    </row>
    <row r="1423" spans="1:7" s="68" customFormat="1" ht="15.6" x14ac:dyDescent="0.3">
      <c r="A1423" s="63"/>
      <c r="B1423" s="64"/>
      <c r="C1423" s="65"/>
      <c r="D1423" s="66"/>
      <c r="E1423" s="67"/>
      <c r="G1423" s="69"/>
    </row>
    <row r="1424" spans="1:7" s="68" customFormat="1" ht="15.6" x14ac:dyDescent="0.3">
      <c r="A1424" s="63"/>
      <c r="B1424" s="64"/>
      <c r="C1424" s="65"/>
      <c r="D1424" s="66"/>
      <c r="E1424" s="67"/>
      <c r="G1424" s="69"/>
    </row>
    <row r="1425" spans="1:7" s="68" customFormat="1" ht="15.6" x14ac:dyDescent="0.3">
      <c r="A1425" s="63"/>
      <c r="B1425" s="64"/>
      <c r="C1425" s="65"/>
      <c r="D1425" s="66"/>
      <c r="E1425" s="67"/>
      <c r="G1425" s="69"/>
    </row>
    <row r="1426" spans="1:7" s="68" customFormat="1" ht="15.6" x14ac:dyDescent="0.3">
      <c r="A1426" s="63"/>
      <c r="B1426" s="64"/>
      <c r="C1426" s="65"/>
      <c r="D1426" s="66"/>
      <c r="E1426" s="67"/>
      <c r="G1426" s="69"/>
    </row>
    <row r="1427" spans="1:7" s="68" customFormat="1" ht="15.6" x14ac:dyDescent="0.3">
      <c r="A1427" s="63"/>
      <c r="B1427" s="64"/>
      <c r="C1427" s="65"/>
      <c r="D1427" s="66"/>
      <c r="E1427" s="67"/>
      <c r="G1427" s="69"/>
    </row>
    <row r="1428" spans="1:7" s="68" customFormat="1" ht="15.6" x14ac:dyDescent="0.3">
      <c r="A1428" s="63"/>
      <c r="B1428" s="64"/>
      <c r="C1428" s="65"/>
      <c r="D1428" s="66"/>
      <c r="E1428" s="67"/>
      <c r="G1428" s="69"/>
    </row>
    <row r="1429" spans="1:7" s="68" customFormat="1" ht="15.6" x14ac:dyDescent="0.3">
      <c r="A1429" s="63"/>
      <c r="B1429" s="64"/>
      <c r="C1429" s="65"/>
      <c r="D1429" s="66"/>
      <c r="E1429" s="67"/>
      <c r="G1429" s="69"/>
    </row>
    <row r="1430" spans="1:7" s="68" customFormat="1" ht="15.6" x14ac:dyDescent="0.3">
      <c r="A1430" s="63"/>
      <c r="B1430" s="64"/>
      <c r="C1430" s="65"/>
      <c r="D1430" s="66"/>
      <c r="E1430" s="67"/>
      <c r="G1430" s="69"/>
    </row>
    <row r="1431" spans="1:7" s="68" customFormat="1" ht="15.6" x14ac:dyDescent="0.3">
      <c r="A1431" s="63"/>
      <c r="B1431" s="64"/>
      <c r="C1431" s="65"/>
      <c r="D1431" s="66"/>
      <c r="E1431" s="67"/>
      <c r="G1431" s="69"/>
    </row>
    <row r="1432" spans="1:7" s="68" customFormat="1" ht="15.6" x14ac:dyDescent="0.3">
      <c r="A1432" s="63"/>
      <c r="B1432" s="64"/>
      <c r="C1432" s="65"/>
      <c r="D1432" s="66"/>
      <c r="E1432" s="67"/>
      <c r="G1432" s="69"/>
    </row>
    <row r="1433" spans="1:7" s="68" customFormat="1" ht="15.6" x14ac:dyDescent="0.3">
      <c r="A1433" s="63"/>
      <c r="B1433" s="64"/>
      <c r="C1433" s="65"/>
      <c r="D1433" s="66"/>
      <c r="E1433" s="67"/>
      <c r="G1433" s="69"/>
    </row>
    <row r="1434" spans="1:7" s="68" customFormat="1" ht="15.6" x14ac:dyDescent="0.3">
      <c r="A1434" s="63"/>
      <c r="B1434" s="64"/>
      <c r="C1434" s="65"/>
      <c r="D1434" s="66"/>
      <c r="E1434" s="67"/>
      <c r="G1434" s="69"/>
    </row>
    <row r="1435" spans="1:7" s="68" customFormat="1" ht="15.6" x14ac:dyDescent="0.3">
      <c r="A1435" s="63"/>
      <c r="B1435" s="64"/>
      <c r="C1435" s="65"/>
      <c r="D1435" s="66"/>
      <c r="E1435" s="67"/>
      <c r="G1435" s="69"/>
    </row>
    <row r="1436" spans="1:7" s="68" customFormat="1" ht="15.6" x14ac:dyDescent="0.3">
      <c r="A1436" s="63"/>
      <c r="B1436" s="64"/>
      <c r="C1436" s="65"/>
      <c r="D1436" s="66"/>
      <c r="E1436" s="67"/>
      <c r="G1436" s="69"/>
    </row>
    <row r="1437" spans="1:7" s="68" customFormat="1" ht="15.6" x14ac:dyDescent="0.3">
      <c r="A1437" s="63"/>
      <c r="B1437" s="64"/>
      <c r="C1437" s="65"/>
      <c r="D1437" s="66"/>
      <c r="E1437" s="67"/>
      <c r="G1437" s="69"/>
    </row>
    <row r="1438" spans="1:7" s="68" customFormat="1" ht="15.6" x14ac:dyDescent="0.3">
      <c r="A1438" s="63"/>
      <c r="B1438" s="64"/>
      <c r="C1438" s="65"/>
      <c r="D1438" s="66"/>
      <c r="E1438" s="67"/>
      <c r="G1438" s="69"/>
    </row>
    <row r="1439" spans="1:7" s="68" customFormat="1" ht="15.6" x14ac:dyDescent="0.3">
      <c r="A1439" s="63"/>
      <c r="B1439" s="64"/>
      <c r="C1439" s="65"/>
      <c r="D1439" s="66"/>
      <c r="E1439" s="67"/>
      <c r="G1439" s="69"/>
    </row>
    <row r="1440" spans="1:7" s="68" customFormat="1" ht="15.6" x14ac:dyDescent="0.3">
      <c r="A1440" s="63"/>
      <c r="B1440" s="64"/>
      <c r="C1440" s="65"/>
      <c r="D1440" s="66"/>
      <c r="E1440" s="67"/>
      <c r="G1440" s="69"/>
    </row>
    <row r="1441" spans="1:7" s="68" customFormat="1" ht="15.6" x14ac:dyDescent="0.3">
      <c r="A1441" s="63"/>
      <c r="B1441" s="64"/>
      <c r="C1441" s="65"/>
      <c r="D1441" s="66"/>
      <c r="E1441" s="67"/>
      <c r="G1441" s="69"/>
    </row>
    <row r="1442" spans="1:7" s="68" customFormat="1" ht="15.6" x14ac:dyDescent="0.3">
      <c r="A1442" s="63"/>
      <c r="B1442" s="64"/>
      <c r="C1442" s="65"/>
      <c r="D1442" s="66"/>
      <c r="E1442" s="67"/>
      <c r="G1442" s="69"/>
    </row>
    <row r="1443" spans="1:7" s="68" customFormat="1" ht="15.6" x14ac:dyDescent="0.3">
      <c r="A1443" s="63"/>
      <c r="B1443" s="64"/>
      <c r="C1443" s="65"/>
      <c r="D1443" s="66"/>
      <c r="E1443" s="67"/>
      <c r="G1443" s="69"/>
    </row>
    <row r="1444" spans="1:7" s="68" customFormat="1" ht="15.6" x14ac:dyDescent="0.3">
      <c r="A1444" s="63"/>
      <c r="B1444" s="64"/>
      <c r="C1444" s="65"/>
      <c r="D1444" s="66"/>
      <c r="E1444" s="67"/>
      <c r="G1444" s="69"/>
    </row>
    <row r="1445" spans="1:7" s="68" customFormat="1" ht="15.6" x14ac:dyDescent="0.3">
      <c r="A1445" s="63"/>
      <c r="B1445" s="64"/>
      <c r="C1445" s="65"/>
      <c r="D1445" s="66"/>
      <c r="E1445" s="67"/>
      <c r="G1445" s="69"/>
    </row>
    <row r="1446" spans="1:7" s="68" customFormat="1" ht="15.6" x14ac:dyDescent="0.3">
      <c r="A1446" s="63"/>
      <c r="B1446" s="64"/>
      <c r="C1446" s="65"/>
      <c r="D1446" s="66"/>
      <c r="E1446" s="67"/>
      <c r="G1446" s="69"/>
    </row>
    <row r="1447" spans="1:7" s="68" customFormat="1" ht="15.6" x14ac:dyDescent="0.3">
      <c r="A1447" s="63"/>
      <c r="B1447" s="64"/>
      <c r="C1447" s="65"/>
      <c r="D1447" s="66"/>
      <c r="E1447" s="67"/>
      <c r="G1447" s="69"/>
    </row>
    <row r="1448" spans="1:7" s="68" customFormat="1" ht="15.6" x14ac:dyDescent="0.3">
      <c r="A1448" s="63"/>
      <c r="B1448" s="64"/>
      <c r="C1448" s="65"/>
      <c r="D1448" s="66"/>
      <c r="E1448" s="67"/>
      <c r="G1448" s="69"/>
    </row>
    <row r="1449" spans="1:7" s="68" customFormat="1" ht="15.6" x14ac:dyDescent="0.3">
      <c r="A1449" s="63"/>
      <c r="B1449" s="64"/>
      <c r="C1449" s="65"/>
      <c r="D1449" s="66"/>
      <c r="E1449" s="67"/>
      <c r="G1449" s="69"/>
    </row>
    <row r="1450" spans="1:7" s="68" customFormat="1" ht="15.6" x14ac:dyDescent="0.3">
      <c r="A1450" s="63"/>
      <c r="B1450" s="64"/>
      <c r="C1450" s="65"/>
      <c r="D1450" s="66"/>
      <c r="E1450" s="67"/>
      <c r="G1450" s="69"/>
    </row>
    <row r="1451" spans="1:7" s="68" customFormat="1" ht="15.6" x14ac:dyDescent="0.3">
      <c r="A1451" s="63"/>
      <c r="B1451" s="64"/>
      <c r="C1451" s="65"/>
      <c r="D1451" s="66"/>
      <c r="E1451" s="67"/>
      <c r="G1451" s="69"/>
    </row>
    <row r="1452" spans="1:7" s="68" customFormat="1" ht="15.6" x14ac:dyDescent="0.3">
      <c r="A1452" s="63"/>
      <c r="B1452" s="64"/>
      <c r="C1452" s="65"/>
      <c r="D1452" s="66"/>
      <c r="E1452" s="67"/>
      <c r="G1452" s="69"/>
    </row>
    <row r="1453" spans="1:7" s="68" customFormat="1" ht="15.6" x14ac:dyDescent="0.3">
      <c r="A1453" s="63"/>
      <c r="B1453" s="64"/>
      <c r="C1453" s="65"/>
      <c r="D1453" s="66"/>
      <c r="E1453" s="67"/>
      <c r="G1453" s="69"/>
    </row>
    <row r="1454" spans="1:7" s="68" customFormat="1" ht="15.6" x14ac:dyDescent="0.3">
      <c r="A1454" s="63"/>
      <c r="B1454" s="64"/>
      <c r="C1454" s="65"/>
      <c r="D1454" s="66"/>
      <c r="E1454" s="67"/>
      <c r="G1454" s="69"/>
    </row>
    <row r="1455" spans="1:7" s="68" customFormat="1" ht="15.6" x14ac:dyDescent="0.3">
      <c r="A1455" s="63"/>
      <c r="B1455" s="64"/>
      <c r="C1455" s="65"/>
      <c r="D1455" s="66"/>
      <c r="E1455" s="67"/>
      <c r="G1455" s="69"/>
    </row>
    <row r="1456" spans="1:7" s="68" customFormat="1" ht="15.6" x14ac:dyDescent="0.3">
      <c r="A1456" s="63"/>
      <c r="B1456" s="64"/>
      <c r="C1456" s="65"/>
      <c r="D1456" s="66"/>
      <c r="E1456" s="67"/>
      <c r="G1456" s="69"/>
    </row>
    <row r="1457" spans="1:7" s="68" customFormat="1" ht="15.6" x14ac:dyDescent="0.3">
      <c r="A1457" s="63"/>
      <c r="B1457" s="64"/>
      <c r="C1457" s="65"/>
      <c r="D1457" s="66"/>
      <c r="E1457" s="67"/>
      <c r="G1457" s="69"/>
    </row>
    <row r="1458" spans="1:7" s="68" customFormat="1" ht="15.6" x14ac:dyDescent="0.3">
      <c r="A1458" s="63"/>
      <c r="B1458" s="64"/>
      <c r="C1458" s="65"/>
      <c r="D1458" s="66"/>
      <c r="E1458" s="67"/>
      <c r="G1458" s="69"/>
    </row>
    <row r="1459" spans="1:7" s="68" customFormat="1" ht="15.6" x14ac:dyDescent="0.3">
      <c r="A1459" s="63"/>
      <c r="B1459" s="64"/>
      <c r="C1459" s="65"/>
      <c r="D1459" s="66"/>
      <c r="E1459" s="67"/>
      <c r="G1459" s="69"/>
    </row>
    <row r="1460" spans="1:7" s="68" customFormat="1" ht="15.6" x14ac:dyDescent="0.3">
      <c r="A1460" s="63"/>
      <c r="B1460" s="64"/>
      <c r="C1460" s="65"/>
      <c r="D1460" s="66"/>
      <c r="E1460" s="67"/>
      <c r="G1460" s="69"/>
    </row>
    <row r="1461" spans="1:7" s="68" customFormat="1" ht="15.6" x14ac:dyDescent="0.3">
      <c r="A1461" s="63"/>
      <c r="B1461" s="64"/>
      <c r="C1461" s="65"/>
      <c r="D1461" s="66"/>
      <c r="E1461" s="67"/>
      <c r="G1461" s="69"/>
    </row>
    <row r="1462" spans="1:7" s="68" customFormat="1" ht="15.6" x14ac:dyDescent="0.3">
      <c r="A1462" s="63"/>
      <c r="B1462" s="64"/>
      <c r="C1462" s="65"/>
      <c r="D1462" s="66"/>
      <c r="E1462" s="67"/>
      <c r="G1462" s="69"/>
    </row>
    <row r="1463" spans="1:7" s="68" customFormat="1" ht="15.6" x14ac:dyDescent="0.3">
      <c r="A1463" s="63"/>
      <c r="B1463" s="64"/>
      <c r="C1463" s="65"/>
      <c r="D1463" s="66"/>
      <c r="E1463" s="67"/>
      <c r="G1463" s="69"/>
    </row>
    <row r="1464" spans="1:7" s="68" customFormat="1" ht="15.6" x14ac:dyDescent="0.3">
      <c r="A1464" s="63"/>
      <c r="B1464" s="64"/>
      <c r="C1464" s="65"/>
      <c r="D1464" s="66"/>
      <c r="E1464" s="67"/>
      <c r="G1464" s="69"/>
    </row>
    <row r="1465" spans="1:7" s="68" customFormat="1" ht="15.6" x14ac:dyDescent="0.3">
      <c r="A1465" s="63"/>
      <c r="B1465" s="64"/>
      <c r="C1465" s="65"/>
      <c r="D1465" s="66"/>
      <c r="E1465" s="67"/>
      <c r="G1465" s="69"/>
    </row>
    <row r="1466" spans="1:7" s="68" customFormat="1" ht="15.6" x14ac:dyDescent="0.3">
      <c r="A1466" s="63"/>
      <c r="B1466" s="64"/>
      <c r="C1466" s="65"/>
      <c r="D1466" s="66"/>
      <c r="E1466" s="67"/>
      <c r="G1466" s="69"/>
    </row>
    <row r="1467" spans="1:7" s="68" customFormat="1" ht="15.6" x14ac:dyDescent="0.3">
      <c r="A1467" s="63"/>
      <c r="B1467" s="64"/>
      <c r="C1467" s="65"/>
      <c r="D1467" s="66"/>
      <c r="E1467" s="67"/>
      <c r="G1467" s="69"/>
    </row>
    <row r="1468" spans="1:7" s="68" customFormat="1" ht="15.6" x14ac:dyDescent="0.3">
      <c r="A1468" s="63"/>
      <c r="B1468" s="64"/>
      <c r="C1468" s="65"/>
      <c r="D1468" s="66"/>
      <c r="E1468" s="67"/>
      <c r="G1468" s="69"/>
    </row>
    <row r="1469" spans="1:7" s="68" customFormat="1" ht="15.6" x14ac:dyDescent="0.3">
      <c r="A1469" s="63"/>
      <c r="B1469" s="64"/>
      <c r="C1469" s="65"/>
      <c r="D1469" s="66"/>
      <c r="E1469" s="67"/>
      <c r="G1469" s="69"/>
    </row>
    <row r="1470" spans="1:7" s="68" customFormat="1" ht="15.6" x14ac:dyDescent="0.3">
      <c r="A1470" s="63"/>
      <c r="B1470" s="64"/>
      <c r="C1470" s="65"/>
      <c r="D1470" s="66"/>
      <c r="E1470" s="67"/>
      <c r="G1470" s="69"/>
    </row>
    <row r="1471" spans="1:7" s="68" customFormat="1" ht="15.6" x14ac:dyDescent="0.3">
      <c r="A1471" s="63"/>
      <c r="B1471" s="64"/>
      <c r="C1471" s="65"/>
      <c r="D1471" s="66"/>
      <c r="E1471" s="67"/>
      <c r="G1471" s="69"/>
    </row>
    <row r="1472" spans="1:7" s="68" customFormat="1" ht="15.6" x14ac:dyDescent="0.3">
      <c r="A1472" s="63"/>
      <c r="B1472" s="64"/>
      <c r="C1472" s="65"/>
      <c r="D1472" s="66"/>
      <c r="E1472" s="67"/>
      <c r="G1472" s="69"/>
    </row>
    <row r="1473" spans="1:7" s="68" customFormat="1" ht="15.6" x14ac:dyDescent="0.3">
      <c r="A1473" s="63"/>
      <c r="B1473" s="64"/>
      <c r="C1473" s="65"/>
      <c r="D1473" s="66"/>
      <c r="E1473" s="67"/>
      <c r="G1473" s="69"/>
    </row>
    <row r="1474" spans="1:7" s="68" customFormat="1" ht="15.6" x14ac:dyDescent="0.3">
      <c r="A1474" s="63"/>
      <c r="B1474" s="64"/>
      <c r="C1474" s="65"/>
      <c r="D1474" s="66"/>
      <c r="E1474" s="67"/>
      <c r="G1474" s="69"/>
    </row>
    <row r="1475" spans="1:7" s="68" customFormat="1" ht="15.6" x14ac:dyDescent="0.3">
      <c r="A1475" s="63"/>
      <c r="B1475" s="64"/>
      <c r="C1475" s="65"/>
      <c r="D1475" s="66"/>
      <c r="E1475" s="67"/>
      <c r="G1475" s="69"/>
    </row>
    <row r="1476" spans="1:7" s="68" customFormat="1" ht="15.6" x14ac:dyDescent="0.3">
      <c r="A1476" s="63"/>
      <c r="B1476" s="64"/>
      <c r="C1476" s="65"/>
      <c r="D1476" s="66"/>
      <c r="E1476" s="67"/>
      <c r="G1476" s="69"/>
    </row>
    <row r="1477" spans="1:7" s="68" customFormat="1" ht="15.6" x14ac:dyDescent="0.3">
      <c r="A1477" s="63"/>
      <c r="B1477" s="64"/>
      <c r="C1477" s="65"/>
      <c r="D1477" s="66"/>
      <c r="E1477" s="67"/>
      <c r="G1477" s="69"/>
    </row>
    <row r="1478" spans="1:7" s="68" customFormat="1" ht="15.6" x14ac:dyDescent="0.3">
      <c r="A1478" s="63"/>
      <c r="B1478" s="64"/>
      <c r="C1478" s="65"/>
      <c r="D1478" s="66"/>
      <c r="E1478" s="67"/>
      <c r="G1478" s="69"/>
    </row>
    <row r="1479" spans="1:7" s="68" customFormat="1" ht="15.6" x14ac:dyDescent="0.3">
      <c r="A1479" s="63"/>
      <c r="B1479" s="64"/>
      <c r="C1479" s="65"/>
      <c r="D1479" s="66"/>
      <c r="E1479" s="67"/>
      <c r="G1479" s="69"/>
    </row>
    <row r="1480" spans="1:7" s="68" customFormat="1" ht="15.6" x14ac:dyDescent="0.3">
      <c r="A1480" s="63"/>
      <c r="B1480" s="64"/>
      <c r="C1480" s="65"/>
      <c r="D1480" s="66"/>
      <c r="E1480" s="67"/>
      <c r="G1480" s="69"/>
    </row>
    <row r="1481" spans="1:7" s="68" customFormat="1" ht="15.6" x14ac:dyDescent="0.3">
      <c r="A1481" s="63"/>
      <c r="B1481" s="64"/>
      <c r="C1481" s="65"/>
      <c r="D1481" s="66"/>
      <c r="E1481" s="67"/>
      <c r="G1481" s="69"/>
    </row>
    <row r="1482" spans="1:7" s="68" customFormat="1" ht="15.6" x14ac:dyDescent="0.3">
      <c r="A1482" s="63"/>
      <c r="B1482" s="64"/>
      <c r="C1482" s="65"/>
      <c r="D1482" s="66"/>
      <c r="E1482" s="67"/>
      <c r="G1482" s="69"/>
    </row>
    <row r="1483" spans="1:7" s="68" customFormat="1" ht="15.6" x14ac:dyDescent="0.3">
      <c r="A1483" s="63"/>
      <c r="B1483" s="64"/>
      <c r="C1483" s="65"/>
      <c r="D1483" s="66"/>
      <c r="E1483" s="67"/>
      <c r="G1483" s="69"/>
    </row>
    <row r="1484" spans="1:7" s="68" customFormat="1" ht="15.6" x14ac:dyDescent="0.3">
      <c r="A1484" s="63"/>
      <c r="B1484" s="64"/>
      <c r="C1484" s="65"/>
      <c r="D1484" s="66"/>
      <c r="E1484" s="67"/>
      <c r="G1484" s="69"/>
    </row>
    <row r="1485" spans="1:7" s="68" customFormat="1" ht="15.6" x14ac:dyDescent="0.3">
      <c r="A1485" s="63"/>
      <c r="B1485" s="64"/>
      <c r="C1485" s="65"/>
      <c r="D1485" s="66"/>
      <c r="E1485" s="67"/>
      <c r="G1485" s="69"/>
    </row>
    <row r="1486" spans="1:7" s="68" customFormat="1" ht="15.6" x14ac:dyDescent="0.3">
      <c r="A1486" s="63"/>
      <c r="B1486" s="64"/>
      <c r="C1486" s="65"/>
      <c r="D1486" s="66"/>
      <c r="E1486" s="67"/>
      <c r="G1486" s="69"/>
    </row>
    <row r="1487" spans="1:7" s="68" customFormat="1" ht="15.6" x14ac:dyDescent="0.3">
      <c r="A1487" s="63"/>
      <c r="B1487" s="64"/>
      <c r="C1487" s="65"/>
      <c r="D1487" s="66"/>
      <c r="E1487" s="67"/>
      <c r="G1487" s="69"/>
    </row>
    <row r="1488" spans="1:7" s="68" customFormat="1" ht="15.6" x14ac:dyDescent="0.3">
      <c r="A1488" s="63"/>
      <c r="B1488" s="64"/>
      <c r="C1488" s="65"/>
      <c r="D1488" s="66"/>
      <c r="E1488" s="67"/>
      <c r="G1488" s="69"/>
    </row>
    <row r="1489" spans="1:7" s="68" customFormat="1" ht="15.6" x14ac:dyDescent="0.3">
      <c r="A1489" s="63"/>
      <c r="B1489" s="64"/>
      <c r="C1489" s="65"/>
      <c r="D1489" s="66"/>
      <c r="E1489" s="67"/>
      <c r="G1489" s="69"/>
    </row>
    <row r="1490" spans="1:7" s="68" customFormat="1" ht="15.6" x14ac:dyDescent="0.3">
      <c r="A1490" s="63"/>
      <c r="B1490" s="64"/>
      <c r="C1490" s="65"/>
      <c r="D1490" s="66"/>
      <c r="E1490" s="67"/>
      <c r="G1490" s="69"/>
    </row>
    <row r="1491" spans="1:7" s="68" customFormat="1" ht="15.6" x14ac:dyDescent="0.3">
      <c r="A1491" s="63"/>
      <c r="B1491" s="64"/>
      <c r="C1491" s="65"/>
      <c r="D1491" s="66"/>
      <c r="E1491" s="67"/>
      <c r="G1491" s="69"/>
    </row>
    <row r="1492" spans="1:7" s="68" customFormat="1" ht="15.6" x14ac:dyDescent="0.3">
      <c r="A1492" s="63"/>
      <c r="B1492" s="64"/>
      <c r="C1492" s="65"/>
      <c r="D1492" s="66"/>
      <c r="E1492" s="67"/>
      <c r="G1492" s="69"/>
    </row>
    <row r="1493" spans="1:7" s="68" customFormat="1" ht="15.6" x14ac:dyDescent="0.3">
      <c r="A1493" s="63"/>
      <c r="B1493" s="64"/>
      <c r="C1493" s="65"/>
      <c r="D1493" s="66"/>
      <c r="E1493" s="67"/>
      <c r="G1493" s="69"/>
    </row>
    <row r="1494" spans="1:7" s="68" customFormat="1" ht="15.6" x14ac:dyDescent="0.3">
      <c r="A1494" s="63"/>
      <c r="B1494" s="64"/>
      <c r="C1494" s="65"/>
      <c r="D1494" s="66"/>
      <c r="E1494" s="67"/>
      <c r="G1494" s="69"/>
    </row>
    <row r="1495" spans="1:7" s="68" customFormat="1" ht="15.6" x14ac:dyDescent="0.3">
      <c r="A1495" s="63"/>
      <c r="B1495" s="64"/>
      <c r="C1495" s="65"/>
      <c r="D1495" s="66"/>
      <c r="E1495" s="67"/>
      <c r="G1495" s="69"/>
    </row>
    <row r="1496" spans="1:7" s="68" customFormat="1" ht="15.6" x14ac:dyDescent="0.3">
      <c r="A1496" s="63"/>
      <c r="B1496" s="64"/>
      <c r="C1496" s="65"/>
      <c r="D1496" s="66"/>
      <c r="E1496" s="67"/>
      <c r="G1496" s="69"/>
    </row>
    <row r="1497" spans="1:7" s="68" customFormat="1" ht="15.6" x14ac:dyDescent="0.3">
      <c r="A1497" s="63"/>
      <c r="B1497" s="64"/>
      <c r="C1497" s="65"/>
      <c r="D1497" s="66"/>
      <c r="E1497" s="67"/>
      <c r="G1497" s="69"/>
    </row>
    <row r="1498" spans="1:7" s="68" customFormat="1" ht="15.6" x14ac:dyDescent="0.3">
      <c r="A1498" s="63"/>
      <c r="B1498" s="64"/>
      <c r="C1498" s="65"/>
      <c r="D1498" s="66"/>
      <c r="E1498" s="67"/>
      <c r="G1498" s="69"/>
    </row>
    <row r="1499" spans="1:7" s="68" customFormat="1" ht="15.6" x14ac:dyDescent="0.3">
      <c r="A1499" s="63"/>
      <c r="B1499" s="64"/>
      <c r="C1499" s="65"/>
      <c r="D1499" s="66"/>
      <c r="E1499" s="67"/>
      <c r="G1499" s="69"/>
    </row>
    <row r="1500" spans="1:7" s="68" customFormat="1" ht="15.6" x14ac:dyDescent="0.3">
      <c r="A1500" s="63"/>
      <c r="B1500" s="64"/>
      <c r="C1500" s="65"/>
      <c r="D1500" s="66"/>
      <c r="E1500" s="67"/>
      <c r="G1500" s="69"/>
    </row>
    <row r="1501" spans="1:7" s="68" customFormat="1" ht="15.6" x14ac:dyDescent="0.3">
      <c r="A1501" s="63"/>
      <c r="B1501" s="64"/>
      <c r="C1501" s="65"/>
      <c r="D1501" s="66"/>
      <c r="E1501" s="67"/>
      <c r="G1501" s="69"/>
    </row>
    <row r="1502" spans="1:7" s="68" customFormat="1" ht="15.6" x14ac:dyDescent="0.3">
      <c r="A1502" s="63"/>
      <c r="B1502" s="64"/>
      <c r="C1502" s="65"/>
      <c r="D1502" s="66"/>
      <c r="E1502" s="67"/>
      <c r="G1502" s="69"/>
    </row>
    <row r="1503" spans="1:7" s="68" customFormat="1" ht="15.6" x14ac:dyDescent="0.3">
      <c r="A1503" s="63"/>
      <c r="B1503" s="64"/>
      <c r="C1503" s="65"/>
      <c r="D1503" s="66"/>
      <c r="E1503" s="67"/>
      <c r="G1503" s="69"/>
    </row>
    <row r="1504" spans="1:7" s="68" customFormat="1" ht="15.6" x14ac:dyDescent="0.3">
      <c r="A1504" s="63"/>
      <c r="B1504" s="64"/>
      <c r="C1504" s="65"/>
      <c r="D1504" s="66"/>
      <c r="E1504" s="67"/>
      <c r="G1504" s="69"/>
    </row>
    <row r="1505" spans="1:7" s="68" customFormat="1" ht="15.6" x14ac:dyDescent="0.3">
      <c r="A1505" s="63"/>
      <c r="B1505" s="64"/>
      <c r="C1505" s="65"/>
      <c r="D1505" s="66"/>
      <c r="E1505" s="67"/>
      <c r="G1505" s="69"/>
    </row>
    <row r="1506" spans="1:7" s="68" customFormat="1" ht="15.6" x14ac:dyDescent="0.3">
      <c r="A1506" s="63"/>
      <c r="B1506" s="64"/>
      <c r="C1506" s="65"/>
      <c r="D1506" s="66"/>
      <c r="E1506" s="67"/>
      <c r="G1506" s="69"/>
    </row>
    <row r="1507" spans="1:7" s="68" customFormat="1" ht="15.6" x14ac:dyDescent="0.3">
      <c r="A1507" s="63"/>
      <c r="B1507" s="64"/>
      <c r="C1507" s="65"/>
      <c r="D1507" s="66"/>
      <c r="E1507" s="67"/>
      <c r="G1507" s="69"/>
    </row>
    <row r="1508" spans="1:7" s="68" customFormat="1" ht="15.6" x14ac:dyDescent="0.3">
      <c r="A1508" s="63"/>
      <c r="B1508" s="64"/>
      <c r="C1508" s="65"/>
      <c r="D1508" s="66"/>
      <c r="E1508" s="67"/>
      <c r="G1508" s="69"/>
    </row>
    <row r="1509" spans="1:7" s="68" customFormat="1" ht="15.6" x14ac:dyDescent="0.3">
      <c r="A1509" s="63"/>
      <c r="B1509" s="64"/>
      <c r="C1509" s="65"/>
      <c r="D1509" s="66"/>
      <c r="E1509" s="67"/>
      <c r="G1509" s="69"/>
    </row>
    <row r="1510" spans="1:7" s="68" customFormat="1" ht="15.6" x14ac:dyDescent="0.3">
      <c r="A1510" s="63"/>
      <c r="B1510" s="64"/>
      <c r="C1510" s="65"/>
      <c r="D1510" s="66"/>
      <c r="E1510" s="67"/>
      <c r="G1510" s="69"/>
    </row>
    <row r="1511" spans="1:7" s="68" customFormat="1" ht="15.6" x14ac:dyDescent="0.3">
      <c r="A1511" s="63"/>
      <c r="B1511" s="64"/>
      <c r="C1511" s="65"/>
      <c r="D1511" s="66"/>
      <c r="E1511" s="67"/>
      <c r="G1511" s="69"/>
    </row>
    <row r="1512" spans="1:7" s="68" customFormat="1" ht="15.6" x14ac:dyDescent="0.3">
      <c r="A1512" s="63"/>
      <c r="B1512" s="64"/>
      <c r="C1512" s="65"/>
      <c r="D1512" s="66"/>
      <c r="E1512" s="67"/>
      <c r="G1512" s="69"/>
    </row>
    <row r="1513" spans="1:7" s="68" customFormat="1" ht="15.6" x14ac:dyDescent="0.3">
      <c r="A1513" s="63"/>
      <c r="B1513" s="64"/>
      <c r="C1513" s="65"/>
      <c r="D1513" s="66"/>
      <c r="E1513" s="67"/>
      <c r="G1513" s="69"/>
    </row>
    <row r="1514" spans="1:7" s="68" customFormat="1" ht="15.6" x14ac:dyDescent="0.3">
      <c r="A1514" s="63"/>
      <c r="B1514" s="64"/>
      <c r="C1514" s="65"/>
      <c r="D1514" s="66"/>
      <c r="E1514" s="67"/>
      <c r="G1514" s="69"/>
    </row>
    <row r="1515" spans="1:7" s="68" customFormat="1" ht="15.6" x14ac:dyDescent="0.3">
      <c r="A1515" s="63"/>
      <c r="B1515" s="64"/>
      <c r="C1515" s="65"/>
      <c r="D1515" s="66"/>
      <c r="E1515" s="67"/>
      <c r="G1515" s="69"/>
    </row>
    <row r="1516" spans="1:7" s="68" customFormat="1" ht="15.6" x14ac:dyDescent="0.3">
      <c r="A1516" s="63"/>
      <c r="B1516" s="64"/>
      <c r="C1516" s="65"/>
      <c r="D1516" s="66"/>
      <c r="E1516" s="67"/>
      <c r="G1516" s="69"/>
    </row>
    <row r="1517" spans="1:7" s="68" customFormat="1" ht="15.6" x14ac:dyDescent="0.3">
      <c r="A1517" s="63"/>
      <c r="B1517" s="64"/>
      <c r="C1517" s="65"/>
      <c r="D1517" s="66"/>
      <c r="E1517" s="67"/>
      <c r="G1517" s="69"/>
    </row>
    <row r="1518" spans="1:7" s="68" customFormat="1" ht="15.6" x14ac:dyDescent="0.3">
      <c r="A1518" s="63"/>
      <c r="B1518" s="64"/>
      <c r="C1518" s="65"/>
      <c r="D1518" s="66"/>
      <c r="E1518" s="67"/>
      <c r="G1518" s="69"/>
    </row>
    <row r="1519" spans="1:7" s="68" customFormat="1" ht="15.6" x14ac:dyDescent="0.3">
      <c r="A1519" s="63"/>
      <c r="B1519" s="64"/>
      <c r="C1519" s="65"/>
      <c r="D1519" s="66"/>
      <c r="E1519" s="67"/>
      <c r="G1519" s="69"/>
    </row>
    <row r="1520" spans="1:7" s="68" customFormat="1" ht="15.6" x14ac:dyDescent="0.3">
      <c r="A1520" s="63"/>
      <c r="B1520" s="64"/>
      <c r="C1520" s="65"/>
      <c r="D1520" s="66"/>
      <c r="E1520" s="67"/>
      <c r="G1520" s="69"/>
    </row>
    <row r="1521" spans="1:7" s="68" customFormat="1" ht="15.6" x14ac:dyDescent="0.3">
      <c r="A1521" s="63"/>
      <c r="B1521" s="64"/>
      <c r="C1521" s="65"/>
      <c r="D1521" s="66"/>
      <c r="E1521" s="67"/>
      <c r="G1521" s="69"/>
    </row>
    <row r="1522" spans="1:7" s="68" customFormat="1" ht="15.6" x14ac:dyDescent="0.3">
      <c r="A1522" s="63"/>
      <c r="B1522" s="64"/>
      <c r="C1522" s="65"/>
      <c r="D1522" s="66"/>
      <c r="E1522" s="67"/>
      <c r="G1522" s="69"/>
    </row>
    <row r="1523" spans="1:7" s="68" customFormat="1" ht="15.6" x14ac:dyDescent="0.3">
      <c r="A1523" s="63"/>
      <c r="B1523" s="64"/>
      <c r="C1523" s="65"/>
      <c r="D1523" s="66"/>
      <c r="E1523" s="67"/>
      <c r="G1523" s="69"/>
    </row>
    <row r="1524" spans="1:7" s="68" customFormat="1" ht="15.6" x14ac:dyDescent="0.3">
      <c r="A1524" s="63"/>
      <c r="B1524" s="64"/>
      <c r="C1524" s="65"/>
      <c r="D1524" s="66"/>
      <c r="E1524" s="67"/>
      <c r="G1524" s="69"/>
    </row>
    <row r="1525" spans="1:7" s="68" customFormat="1" ht="15.6" x14ac:dyDescent="0.3">
      <c r="A1525" s="63"/>
      <c r="B1525" s="64"/>
      <c r="C1525" s="65"/>
      <c r="D1525" s="66"/>
      <c r="E1525" s="67"/>
      <c r="G1525" s="69"/>
    </row>
    <row r="1526" spans="1:7" s="68" customFormat="1" ht="15.6" x14ac:dyDescent="0.3">
      <c r="A1526" s="63"/>
      <c r="B1526" s="64"/>
      <c r="C1526" s="65"/>
      <c r="D1526" s="66"/>
      <c r="E1526" s="67"/>
      <c r="G1526" s="69"/>
    </row>
    <row r="1527" spans="1:7" s="68" customFormat="1" ht="15.6" x14ac:dyDescent="0.3">
      <c r="A1527" s="63"/>
      <c r="B1527" s="64"/>
      <c r="C1527" s="65"/>
      <c r="D1527" s="66"/>
      <c r="E1527" s="67"/>
      <c r="G1527" s="69"/>
    </row>
    <row r="1528" spans="1:7" s="68" customFormat="1" ht="15.6" x14ac:dyDescent="0.3">
      <c r="A1528" s="63"/>
      <c r="B1528" s="64"/>
      <c r="C1528" s="65"/>
      <c r="D1528" s="66"/>
      <c r="E1528" s="67"/>
      <c r="G1528" s="69"/>
    </row>
    <row r="1529" spans="1:7" s="68" customFormat="1" ht="15.6" x14ac:dyDescent="0.3">
      <c r="A1529" s="63"/>
      <c r="B1529" s="64"/>
      <c r="C1529" s="65"/>
      <c r="D1529" s="66"/>
      <c r="E1529" s="67"/>
      <c r="G1529" s="69"/>
    </row>
    <row r="1530" spans="1:7" s="68" customFormat="1" ht="15.6" x14ac:dyDescent="0.3">
      <c r="A1530" s="63"/>
      <c r="B1530" s="64"/>
      <c r="C1530" s="65"/>
      <c r="D1530" s="66"/>
      <c r="E1530" s="67"/>
      <c r="G1530" s="69"/>
    </row>
    <row r="1531" spans="1:7" s="68" customFormat="1" ht="15.6" x14ac:dyDescent="0.3">
      <c r="A1531" s="63"/>
      <c r="B1531" s="64"/>
      <c r="C1531" s="65"/>
      <c r="D1531" s="66"/>
      <c r="E1531" s="67"/>
      <c r="G1531" s="69"/>
    </row>
    <row r="1532" spans="1:7" s="68" customFormat="1" ht="15.6" x14ac:dyDescent="0.3">
      <c r="A1532" s="63"/>
      <c r="B1532" s="64"/>
      <c r="C1532" s="65"/>
      <c r="D1532" s="66"/>
      <c r="E1532" s="67"/>
      <c r="G1532" s="69"/>
    </row>
    <row r="1533" spans="1:7" s="68" customFormat="1" ht="15.6" x14ac:dyDescent="0.3">
      <c r="A1533" s="63"/>
      <c r="B1533" s="64"/>
      <c r="C1533" s="65"/>
      <c r="D1533" s="66"/>
      <c r="E1533" s="67"/>
      <c r="G1533" s="69"/>
    </row>
    <row r="1534" spans="1:7" s="68" customFormat="1" ht="15.6" x14ac:dyDescent="0.3">
      <c r="A1534" s="63"/>
      <c r="B1534" s="64"/>
      <c r="C1534" s="65"/>
      <c r="D1534" s="66"/>
      <c r="E1534" s="67"/>
      <c r="G1534" s="69"/>
    </row>
    <row r="1535" spans="1:7" s="68" customFormat="1" ht="15.6" x14ac:dyDescent="0.3">
      <c r="A1535" s="63"/>
      <c r="B1535" s="64"/>
      <c r="C1535" s="65"/>
      <c r="D1535" s="66"/>
      <c r="E1535" s="67"/>
      <c r="G1535" s="69"/>
    </row>
    <row r="1536" spans="1:7" s="68" customFormat="1" ht="15.6" x14ac:dyDescent="0.3">
      <c r="A1536" s="63"/>
      <c r="B1536" s="64"/>
      <c r="C1536" s="65"/>
      <c r="D1536" s="66"/>
      <c r="E1536" s="67"/>
      <c r="G1536" s="69"/>
    </row>
    <row r="1537" spans="1:7" s="68" customFormat="1" ht="15.6" x14ac:dyDescent="0.3">
      <c r="A1537" s="63"/>
      <c r="B1537" s="64"/>
      <c r="C1537" s="65"/>
      <c r="D1537" s="66"/>
      <c r="E1537" s="67"/>
      <c r="G1537" s="69"/>
    </row>
    <row r="1538" spans="1:7" s="68" customFormat="1" ht="15.6" x14ac:dyDescent="0.3">
      <c r="A1538" s="63"/>
      <c r="B1538" s="64"/>
      <c r="C1538" s="65"/>
      <c r="D1538" s="66"/>
      <c r="E1538" s="67"/>
      <c r="G1538" s="69"/>
    </row>
    <row r="1539" spans="1:7" s="68" customFormat="1" ht="15.6" x14ac:dyDescent="0.3">
      <c r="A1539" s="63"/>
      <c r="B1539" s="64"/>
      <c r="C1539" s="65"/>
      <c r="D1539" s="66"/>
      <c r="E1539" s="67"/>
      <c r="G1539" s="69"/>
    </row>
    <row r="1540" spans="1:7" s="68" customFormat="1" ht="15.6" x14ac:dyDescent="0.3">
      <c r="A1540" s="63"/>
      <c r="B1540" s="64"/>
      <c r="C1540" s="65"/>
      <c r="D1540" s="66"/>
      <c r="E1540" s="67"/>
      <c r="G1540" s="69"/>
    </row>
    <row r="1541" spans="1:7" s="68" customFormat="1" ht="15.6" x14ac:dyDescent="0.3">
      <c r="A1541" s="63"/>
      <c r="B1541" s="64"/>
      <c r="C1541" s="65"/>
      <c r="D1541" s="66"/>
      <c r="E1541" s="67"/>
      <c r="G1541" s="69"/>
    </row>
    <row r="1542" spans="1:7" s="68" customFormat="1" ht="15.6" x14ac:dyDescent="0.3">
      <c r="A1542" s="63"/>
      <c r="B1542" s="64"/>
      <c r="C1542" s="65"/>
      <c r="D1542" s="66"/>
      <c r="E1542" s="67"/>
      <c r="G1542" s="69"/>
    </row>
    <row r="1543" spans="1:7" s="68" customFormat="1" ht="15.6" x14ac:dyDescent="0.3">
      <c r="A1543" s="63"/>
      <c r="B1543" s="64"/>
      <c r="C1543" s="65"/>
      <c r="D1543" s="66"/>
      <c r="E1543" s="67"/>
      <c r="G1543" s="69"/>
    </row>
    <row r="1544" spans="1:7" s="68" customFormat="1" ht="15.6" x14ac:dyDescent="0.3">
      <c r="A1544" s="63"/>
      <c r="B1544" s="64"/>
      <c r="C1544" s="65"/>
      <c r="D1544" s="66"/>
      <c r="E1544" s="67"/>
      <c r="G1544" s="69"/>
    </row>
    <row r="1545" spans="1:7" s="68" customFormat="1" ht="15.6" x14ac:dyDescent="0.3">
      <c r="A1545" s="63"/>
      <c r="B1545" s="64"/>
      <c r="C1545" s="65"/>
      <c r="D1545" s="66"/>
      <c r="E1545" s="67"/>
      <c r="G1545" s="69"/>
    </row>
    <row r="1546" spans="1:7" s="68" customFormat="1" ht="15.6" x14ac:dyDescent="0.3">
      <c r="A1546" s="63"/>
      <c r="B1546" s="64"/>
      <c r="C1546" s="65"/>
      <c r="D1546" s="66"/>
      <c r="E1546" s="67"/>
      <c r="G1546" s="69"/>
    </row>
    <row r="1547" spans="1:7" s="68" customFormat="1" ht="15.6" x14ac:dyDescent="0.3">
      <c r="A1547" s="63"/>
      <c r="B1547" s="64"/>
      <c r="C1547" s="65"/>
      <c r="D1547" s="66"/>
      <c r="E1547" s="67"/>
      <c r="G1547" s="69"/>
    </row>
    <row r="1548" spans="1:7" s="68" customFormat="1" ht="15.6" x14ac:dyDescent="0.3">
      <c r="A1548" s="63"/>
      <c r="B1548" s="64"/>
      <c r="C1548" s="65"/>
      <c r="D1548" s="66"/>
      <c r="E1548" s="67"/>
      <c r="G1548" s="69"/>
    </row>
    <row r="1549" spans="1:7" s="68" customFormat="1" ht="15.6" x14ac:dyDescent="0.3">
      <c r="A1549" s="63"/>
      <c r="B1549" s="64"/>
      <c r="C1549" s="65"/>
      <c r="D1549" s="66"/>
      <c r="E1549" s="67"/>
      <c r="G1549" s="69"/>
    </row>
    <row r="1550" spans="1:7" s="68" customFormat="1" ht="15.6" x14ac:dyDescent="0.3">
      <c r="A1550" s="63"/>
      <c r="B1550" s="64"/>
      <c r="C1550" s="65"/>
      <c r="D1550" s="66"/>
      <c r="E1550" s="67"/>
      <c r="G1550" s="69"/>
    </row>
    <row r="1551" spans="1:7" s="68" customFormat="1" ht="15.6" x14ac:dyDescent="0.3">
      <c r="A1551" s="63"/>
      <c r="B1551" s="64"/>
      <c r="C1551" s="65"/>
      <c r="D1551" s="66"/>
      <c r="E1551" s="67"/>
      <c r="G1551" s="69"/>
    </row>
    <row r="1552" spans="1:7" s="68" customFormat="1" ht="15.6" x14ac:dyDescent="0.3">
      <c r="A1552" s="63"/>
      <c r="B1552" s="64"/>
      <c r="C1552" s="65"/>
      <c r="D1552" s="66"/>
      <c r="E1552" s="67"/>
      <c r="G1552" s="69"/>
    </row>
    <row r="1553" spans="1:7" s="68" customFormat="1" ht="15.6" x14ac:dyDescent="0.3">
      <c r="A1553" s="63"/>
      <c r="B1553" s="64"/>
      <c r="C1553" s="65"/>
      <c r="D1553" s="66"/>
      <c r="E1553" s="67"/>
      <c r="G1553" s="69"/>
    </row>
    <row r="1554" spans="1:7" s="68" customFormat="1" ht="15.6" x14ac:dyDescent="0.3">
      <c r="A1554" s="63"/>
      <c r="B1554" s="64"/>
      <c r="C1554" s="65"/>
      <c r="D1554" s="66"/>
      <c r="E1554" s="67"/>
      <c r="G1554" s="69"/>
    </row>
    <row r="1555" spans="1:7" s="68" customFormat="1" ht="15.6" x14ac:dyDescent="0.3">
      <c r="A1555" s="63"/>
      <c r="B1555" s="64"/>
      <c r="C1555" s="65"/>
      <c r="D1555" s="66"/>
      <c r="E1555" s="67"/>
      <c r="G1555" s="69"/>
    </row>
    <row r="1556" spans="1:7" s="68" customFormat="1" ht="15.6" x14ac:dyDescent="0.3">
      <c r="A1556" s="63"/>
      <c r="B1556" s="64"/>
      <c r="C1556" s="65"/>
      <c r="D1556" s="66"/>
      <c r="E1556" s="67"/>
      <c r="G1556" s="69"/>
    </row>
    <row r="1557" spans="1:7" s="68" customFormat="1" ht="15.6" x14ac:dyDescent="0.3">
      <c r="A1557" s="63"/>
      <c r="B1557" s="64"/>
      <c r="C1557" s="65"/>
      <c r="D1557" s="66"/>
      <c r="E1557" s="67"/>
      <c r="G1557" s="69"/>
    </row>
    <row r="1558" spans="1:7" s="68" customFormat="1" ht="15.6" x14ac:dyDescent="0.3">
      <c r="A1558" s="63"/>
      <c r="B1558" s="64"/>
      <c r="C1558" s="65"/>
      <c r="D1558" s="66"/>
      <c r="E1558" s="67"/>
      <c r="G1558" s="69"/>
    </row>
    <row r="1559" spans="1:7" s="68" customFormat="1" ht="15.6" x14ac:dyDescent="0.3">
      <c r="A1559" s="63"/>
      <c r="B1559" s="64"/>
      <c r="C1559" s="65"/>
      <c r="D1559" s="66"/>
      <c r="E1559" s="67"/>
      <c r="G1559" s="69"/>
    </row>
    <row r="1560" spans="1:7" s="68" customFormat="1" ht="15.6" x14ac:dyDescent="0.3">
      <c r="A1560" s="63"/>
      <c r="B1560" s="64"/>
      <c r="C1560" s="65"/>
      <c r="D1560" s="66"/>
      <c r="E1560" s="67"/>
      <c r="G1560" s="69"/>
    </row>
    <row r="1561" spans="1:7" s="68" customFormat="1" ht="15.6" x14ac:dyDescent="0.3">
      <c r="A1561" s="63"/>
      <c r="B1561" s="64"/>
      <c r="C1561" s="65"/>
      <c r="D1561" s="66"/>
      <c r="E1561" s="67"/>
      <c r="G1561" s="69"/>
    </row>
    <row r="1562" spans="1:7" s="68" customFormat="1" ht="15.6" x14ac:dyDescent="0.3">
      <c r="A1562" s="63"/>
      <c r="B1562" s="64"/>
      <c r="C1562" s="65"/>
      <c r="D1562" s="66"/>
      <c r="E1562" s="67"/>
      <c r="G1562" s="69"/>
    </row>
    <row r="1563" spans="1:7" s="68" customFormat="1" ht="15.6" x14ac:dyDescent="0.3">
      <c r="A1563" s="63"/>
      <c r="B1563" s="64"/>
      <c r="C1563" s="65"/>
      <c r="D1563" s="66"/>
      <c r="E1563" s="67"/>
      <c r="G1563" s="69"/>
    </row>
    <row r="1564" spans="1:7" s="68" customFormat="1" ht="15.6" x14ac:dyDescent="0.3">
      <c r="A1564" s="63"/>
      <c r="B1564" s="64"/>
      <c r="C1564" s="65"/>
      <c r="D1564" s="66"/>
      <c r="E1564" s="67"/>
      <c r="G1564" s="69"/>
    </row>
    <row r="1565" spans="1:7" s="68" customFormat="1" ht="15.6" x14ac:dyDescent="0.3">
      <c r="A1565" s="63"/>
      <c r="B1565" s="64"/>
      <c r="C1565" s="65"/>
      <c r="D1565" s="66"/>
      <c r="E1565" s="67"/>
      <c r="G1565" s="69"/>
    </row>
    <row r="1566" spans="1:7" s="68" customFormat="1" ht="15.6" x14ac:dyDescent="0.3">
      <c r="A1566" s="63"/>
      <c r="B1566" s="64"/>
      <c r="C1566" s="65"/>
      <c r="D1566" s="66"/>
      <c r="E1566" s="67"/>
      <c r="G1566" s="69"/>
    </row>
    <row r="1567" spans="1:7" s="68" customFormat="1" ht="15.6" x14ac:dyDescent="0.3">
      <c r="A1567" s="63"/>
      <c r="B1567" s="64"/>
      <c r="C1567" s="65"/>
      <c r="D1567" s="66"/>
      <c r="E1567" s="67"/>
      <c r="G1567" s="69"/>
    </row>
    <row r="1568" spans="1:7" s="68" customFormat="1" ht="15.6" x14ac:dyDescent="0.3">
      <c r="A1568" s="63"/>
      <c r="B1568" s="64"/>
      <c r="C1568" s="65"/>
      <c r="D1568" s="66"/>
      <c r="E1568" s="67"/>
      <c r="G1568" s="69"/>
    </row>
    <row r="1569" spans="1:7" s="68" customFormat="1" ht="15.6" x14ac:dyDescent="0.3">
      <c r="A1569" s="63"/>
      <c r="B1569" s="64"/>
      <c r="C1569" s="65"/>
      <c r="D1569" s="66"/>
      <c r="E1569" s="67"/>
      <c r="G1569" s="69"/>
    </row>
    <row r="1570" spans="1:7" s="68" customFormat="1" ht="15.6" x14ac:dyDescent="0.3">
      <c r="A1570" s="63"/>
      <c r="B1570" s="64"/>
      <c r="C1570" s="65"/>
      <c r="D1570" s="66"/>
      <c r="E1570" s="67"/>
      <c r="G1570" s="69"/>
    </row>
    <row r="1571" spans="1:7" s="68" customFormat="1" ht="15.6" x14ac:dyDescent="0.3">
      <c r="A1571" s="63"/>
      <c r="B1571" s="64"/>
      <c r="C1571" s="65"/>
      <c r="D1571" s="66"/>
      <c r="E1571" s="67"/>
      <c r="G1571" s="69"/>
    </row>
    <row r="1572" spans="1:7" s="68" customFormat="1" ht="15.6" x14ac:dyDescent="0.3">
      <c r="A1572" s="63"/>
      <c r="B1572" s="64"/>
      <c r="C1572" s="65"/>
      <c r="D1572" s="66"/>
      <c r="E1572" s="67"/>
      <c r="G1572" s="69"/>
    </row>
    <row r="1573" spans="1:7" s="68" customFormat="1" ht="15.6" x14ac:dyDescent="0.3">
      <c r="A1573" s="63"/>
      <c r="B1573" s="64"/>
      <c r="C1573" s="65"/>
      <c r="D1573" s="66"/>
      <c r="E1573" s="67"/>
      <c r="G1573" s="69"/>
    </row>
    <row r="1574" spans="1:7" s="68" customFormat="1" ht="15.6" x14ac:dyDescent="0.3">
      <c r="A1574" s="63"/>
      <c r="B1574" s="64"/>
      <c r="C1574" s="65"/>
      <c r="D1574" s="66"/>
      <c r="E1574" s="67"/>
      <c r="G1574" s="69"/>
    </row>
    <row r="1575" spans="1:7" s="68" customFormat="1" ht="15.6" x14ac:dyDescent="0.3">
      <c r="A1575" s="63"/>
      <c r="B1575" s="64"/>
      <c r="C1575" s="65"/>
      <c r="D1575" s="66"/>
      <c r="E1575" s="67"/>
      <c r="G1575" s="69"/>
    </row>
    <row r="1576" spans="1:7" s="68" customFormat="1" ht="15.6" x14ac:dyDescent="0.3">
      <c r="A1576" s="63"/>
      <c r="B1576" s="64"/>
      <c r="C1576" s="65"/>
      <c r="D1576" s="66"/>
      <c r="E1576" s="67"/>
      <c r="G1576" s="69"/>
    </row>
    <row r="1577" spans="1:7" s="68" customFormat="1" ht="15.6" x14ac:dyDescent="0.3">
      <c r="A1577" s="63"/>
      <c r="B1577" s="64"/>
      <c r="C1577" s="65"/>
      <c r="D1577" s="66"/>
      <c r="E1577" s="67"/>
      <c r="G1577" s="69"/>
    </row>
    <row r="1578" spans="1:7" s="68" customFormat="1" ht="15.6" x14ac:dyDescent="0.3">
      <c r="A1578" s="63"/>
      <c r="B1578" s="64"/>
      <c r="C1578" s="65"/>
      <c r="D1578" s="66"/>
      <c r="E1578" s="67"/>
      <c r="G1578" s="69"/>
    </row>
    <row r="1579" spans="1:7" s="68" customFormat="1" ht="15.6" x14ac:dyDescent="0.3">
      <c r="A1579" s="63"/>
      <c r="B1579" s="64"/>
      <c r="C1579" s="65"/>
      <c r="D1579" s="66"/>
      <c r="E1579" s="67"/>
      <c r="G1579" s="69"/>
    </row>
    <row r="1580" spans="1:7" s="68" customFormat="1" ht="15.6" x14ac:dyDescent="0.3">
      <c r="A1580" s="63"/>
      <c r="B1580" s="64"/>
      <c r="C1580" s="65"/>
      <c r="D1580" s="66"/>
      <c r="E1580" s="67"/>
      <c r="G1580" s="69"/>
    </row>
    <row r="1581" spans="1:7" s="68" customFormat="1" ht="15.6" x14ac:dyDescent="0.3">
      <c r="A1581" s="63"/>
      <c r="B1581" s="64"/>
      <c r="C1581" s="65"/>
      <c r="D1581" s="66"/>
      <c r="E1581" s="67"/>
      <c r="G1581" s="69"/>
    </row>
    <row r="1582" spans="1:7" s="68" customFormat="1" ht="15.6" x14ac:dyDescent="0.3">
      <c r="A1582" s="63"/>
      <c r="B1582" s="64"/>
      <c r="C1582" s="65"/>
      <c r="D1582" s="66"/>
      <c r="E1582" s="67"/>
      <c r="G1582" s="69"/>
    </row>
    <row r="1583" spans="1:7" s="68" customFormat="1" ht="15.6" x14ac:dyDescent="0.3">
      <c r="A1583" s="63"/>
      <c r="B1583" s="64"/>
      <c r="C1583" s="65"/>
      <c r="D1583" s="66"/>
      <c r="E1583" s="67"/>
      <c r="G1583" s="69"/>
    </row>
    <row r="1584" spans="1:7" s="68" customFormat="1" ht="15.6" x14ac:dyDescent="0.3">
      <c r="A1584" s="63"/>
      <c r="B1584" s="64"/>
      <c r="C1584" s="65"/>
      <c r="D1584" s="66"/>
      <c r="E1584" s="67"/>
      <c r="G1584" s="69"/>
    </row>
    <row r="1585" spans="1:7" s="68" customFormat="1" ht="15.6" x14ac:dyDescent="0.3">
      <c r="A1585" s="63"/>
      <c r="B1585" s="64"/>
      <c r="C1585" s="65"/>
      <c r="D1585" s="66"/>
      <c r="E1585" s="67"/>
      <c r="G1585" s="69"/>
    </row>
    <row r="1586" spans="1:7" s="68" customFormat="1" ht="15.6" x14ac:dyDescent="0.3">
      <c r="A1586" s="63"/>
      <c r="B1586" s="64"/>
      <c r="C1586" s="65"/>
      <c r="D1586" s="66"/>
      <c r="E1586" s="67"/>
      <c r="G1586" s="69"/>
    </row>
    <row r="1587" spans="1:7" s="68" customFormat="1" ht="15.6" x14ac:dyDescent="0.3">
      <c r="A1587" s="63"/>
      <c r="B1587" s="64"/>
      <c r="C1587" s="65"/>
      <c r="D1587" s="66"/>
      <c r="E1587" s="67"/>
      <c r="G1587" s="69"/>
    </row>
    <row r="1588" spans="1:7" s="68" customFormat="1" ht="15.6" x14ac:dyDescent="0.3">
      <c r="A1588" s="63"/>
      <c r="B1588" s="64"/>
      <c r="C1588" s="65"/>
      <c r="D1588" s="66"/>
      <c r="E1588" s="67"/>
      <c r="G1588" s="69"/>
    </row>
    <row r="1589" spans="1:7" s="68" customFormat="1" ht="15.6" x14ac:dyDescent="0.3">
      <c r="A1589" s="63"/>
      <c r="B1589" s="64"/>
      <c r="C1589" s="65"/>
      <c r="D1589" s="66"/>
      <c r="E1589" s="67"/>
      <c r="G1589" s="69"/>
    </row>
    <row r="1590" spans="1:7" s="68" customFormat="1" ht="15.6" x14ac:dyDescent="0.3">
      <c r="A1590" s="63"/>
      <c r="B1590" s="64"/>
      <c r="C1590" s="65"/>
      <c r="D1590" s="66"/>
      <c r="E1590" s="67"/>
      <c r="G1590" s="69"/>
    </row>
    <row r="1591" spans="1:7" s="68" customFormat="1" ht="15.6" x14ac:dyDescent="0.3">
      <c r="A1591" s="63"/>
      <c r="B1591" s="64"/>
      <c r="C1591" s="65"/>
      <c r="D1591" s="66"/>
      <c r="E1591" s="67"/>
      <c r="G1591" s="69"/>
    </row>
    <row r="1592" spans="1:7" s="68" customFormat="1" ht="15.6" x14ac:dyDescent="0.3">
      <c r="A1592" s="63"/>
      <c r="B1592" s="64"/>
      <c r="C1592" s="65"/>
      <c r="D1592" s="66"/>
      <c r="E1592" s="67"/>
      <c r="G1592" s="69"/>
    </row>
    <row r="1593" spans="1:7" s="68" customFormat="1" ht="15.6" x14ac:dyDescent="0.3">
      <c r="A1593" s="63"/>
      <c r="B1593" s="64"/>
      <c r="C1593" s="65"/>
      <c r="D1593" s="66"/>
      <c r="E1593" s="67"/>
      <c r="G1593" s="69"/>
    </row>
    <row r="1594" spans="1:7" s="68" customFormat="1" ht="15.6" x14ac:dyDescent="0.3">
      <c r="A1594" s="63"/>
      <c r="B1594" s="64"/>
      <c r="C1594" s="65"/>
      <c r="D1594" s="66"/>
      <c r="E1594" s="67"/>
      <c r="G1594" s="69"/>
    </row>
    <row r="1595" spans="1:7" s="68" customFormat="1" ht="15.6" x14ac:dyDescent="0.3">
      <c r="A1595" s="63"/>
      <c r="B1595" s="64"/>
      <c r="C1595" s="65"/>
      <c r="D1595" s="66"/>
      <c r="E1595" s="67"/>
      <c r="G1595" s="69"/>
    </row>
    <row r="1596" spans="1:7" s="68" customFormat="1" ht="15.6" x14ac:dyDescent="0.3">
      <c r="A1596" s="63"/>
      <c r="B1596" s="64"/>
      <c r="C1596" s="65"/>
      <c r="D1596" s="66"/>
      <c r="E1596" s="67"/>
      <c r="G1596" s="69"/>
    </row>
    <row r="1597" spans="1:7" s="68" customFormat="1" ht="15.6" x14ac:dyDescent="0.3">
      <c r="A1597" s="63"/>
      <c r="B1597" s="64"/>
      <c r="C1597" s="65"/>
      <c r="D1597" s="66"/>
      <c r="E1597" s="67"/>
      <c r="G1597" s="69"/>
    </row>
    <row r="1598" spans="1:7" s="68" customFormat="1" ht="15.6" x14ac:dyDescent="0.3">
      <c r="A1598" s="63"/>
      <c r="B1598" s="64"/>
      <c r="C1598" s="65"/>
      <c r="D1598" s="66"/>
      <c r="E1598" s="67"/>
      <c r="G1598" s="69"/>
    </row>
    <row r="1599" spans="1:7" s="68" customFormat="1" ht="15.6" x14ac:dyDescent="0.3">
      <c r="A1599" s="63"/>
      <c r="B1599" s="64"/>
      <c r="C1599" s="65"/>
      <c r="D1599" s="66"/>
      <c r="E1599" s="67"/>
      <c r="G1599" s="69"/>
    </row>
    <row r="1600" spans="1:7" s="68" customFormat="1" ht="15.6" x14ac:dyDescent="0.3">
      <c r="A1600" s="63"/>
      <c r="B1600" s="64"/>
      <c r="C1600" s="65"/>
      <c r="D1600" s="66"/>
      <c r="E1600" s="67"/>
      <c r="G1600" s="69"/>
    </row>
    <row r="1601" spans="1:7" s="68" customFormat="1" ht="15.6" x14ac:dyDescent="0.3">
      <c r="A1601" s="63"/>
      <c r="B1601" s="64"/>
      <c r="C1601" s="65"/>
      <c r="D1601" s="66"/>
      <c r="E1601" s="67"/>
      <c r="G1601" s="69"/>
    </row>
    <row r="1602" spans="1:7" s="68" customFormat="1" ht="15.6" x14ac:dyDescent="0.3">
      <c r="A1602" s="63"/>
      <c r="B1602" s="64"/>
      <c r="C1602" s="65"/>
      <c r="D1602" s="66"/>
      <c r="E1602" s="67"/>
      <c r="G1602" s="69"/>
    </row>
    <row r="1603" spans="1:7" s="68" customFormat="1" ht="15.6" x14ac:dyDescent="0.3">
      <c r="A1603" s="63"/>
      <c r="B1603" s="64"/>
      <c r="C1603" s="65"/>
      <c r="D1603" s="66"/>
      <c r="E1603" s="67"/>
      <c r="G1603" s="69"/>
    </row>
    <row r="1604" spans="1:7" s="68" customFormat="1" ht="15.6" x14ac:dyDescent="0.3">
      <c r="A1604" s="63"/>
      <c r="B1604" s="64"/>
      <c r="C1604" s="65"/>
      <c r="D1604" s="66"/>
      <c r="E1604" s="67"/>
      <c r="G1604" s="69"/>
    </row>
    <row r="1605" spans="1:7" s="68" customFormat="1" ht="15.6" x14ac:dyDescent="0.3">
      <c r="A1605" s="63"/>
      <c r="B1605" s="64"/>
      <c r="C1605" s="65"/>
      <c r="D1605" s="66"/>
      <c r="E1605" s="67"/>
      <c r="G1605" s="69"/>
    </row>
    <row r="1606" spans="1:7" s="68" customFormat="1" ht="15.6" x14ac:dyDescent="0.3">
      <c r="A1606" s="63"/>
      <c r="B1606" s="64"/>
      <c r="C1606" s="65"/>
      <c r="D1606" s="66"/>
      <c r="E1606" s="67"/>
      <c r="G1606" s="69"/>
    </row>
    <row r="1607" spans="1:7" s="68" customFormat="1" ht="15.6" x14ac:dyDescent="0.3">
      <c r="A1607" s="63"/>
      <c r="B1607" s="64"/>
      <c r="C1607" s="65"/>
      <c r="D1607" s="66"/>
      <c r="E1607" s="67"/>
      <c r="G1607" s="69"/>
    </row>
    <row r="1608" spans="1:7" s="68" customFormat="1" ht="15.6" x14ac:dyDescent="0.3">
      <c r="A1608" s="63"/>
      <c r="B1608" s="64"/>
      <c r="C1608" s="65"/>
      <c r="D1608" s="66"/>
      <c r="E1608" s="67"/>
      <c r="G1608" s="69"/>
    </row>
    <row r="1609" spans="1:7" s="68" customFormat="1" ht="15.6" x14ac:dyDescent="0.3">
      <c r="A1609" s="63"/>
      <c r="B1609" s="64"/>
      <c r="C1609" s="65"/>
      <c r="D1609" s="66"/>
      <c r="E1609" s="67"/>
      <c r="G1609" s="69"/>
    </row>
    <row r="1610" spans="1:7" s="68" customFormat="1" ht="15.6" x14ac:dyDescent="0.3">
      <c r="A1610" s="63"/>
      <c r="B1610" s="64"/>
      <c r="C1610" s="65"/>
      <c r="D1610" s="66"/>
      <c r="E1610" s="67"/>
      <c r="G1610" s="69"/>
    </row>
    <row r="1611" spans="1:7" s="68" customFormat="1" ht="15.6" x14ac:dyDescent="0.3">
      <c r="A1611" s="63"/>
      <c r="B1611" s="64"/>
      <c r="C1611" s="65"/>
      <c r="D1611" s="66"/>
      <c r="E1611" s="67"/>
      <c r="G1611" s="69"/>
    </row>
    <row r="1612" spans="1:7" s="68" customFormat="1" ht="15.6" x14ac:dyDescent="0.3">
      <c r="A1612" s="63"/>
      <c r="B1612" s="64"/>
      <c r="C1612" s="65"/>
      <c r="D1612" s="66"/>
      <c r="E1612" s="67"/>
      <c r="G1612" s="69"/>
    </row>
    <row r="1613" spans="1:7" s="68" customFormat="1" ht="15.6" x14ac:dyDescent="0.3">
      <c r="A1613" s="63"/>
      <c r="B1613" s="64"/>
      <c r="C1613" s="65"/>
      <c r="D1613" s="66"/>
      <c r="E1613" s="67"/>
      <c r="G1613" s="69"/>
    </row>
    <row r="1614" spans="1:7" s="68" customFormat="1" ht="15.6" x14ac:dyDescent="0.3">
      <c r="A1614" s="63"/>
      <c r="B1614" s="64"/>
      <c r="C1614" s="65"/>
      <c r="D1614" s="66"/>
      <c r="E1614" s="67"/>
      <c r="G1614" s="69"/>
    </row>
    <row r="1615" spans="1:7" s="68" customFormat="1" ht="15.6" x14ac:dyDescent="0.3">
      <c r="A1615" s="63"/>
      <c r="B1615" s="64"/>
      <c r="C1615" s="65"/>
      <c r="D1615" s="66"/>
      <c r="E1615" s="67"/>
      <c r="G1615" s="69"/>
    </row>
    <row r="1616" spans="1:7" s="68" customFormat="1" ht="15.6" x14ac:dyDescent="0.3">
      <c r="A1616" s="63"/>
      <c r="B1616" s="64"/>
      <c r="C1616" s="65"/>
      <c r="D1616" s="66"/>
      <c r="E1616" s="67"/>
      <c r="G1616" s="69"/>
    </row>
    <row r="1617" spans="1:7" s="68" customFormat="1" ht="15.6" x14ac:dyDescent="0.3">
      <c r="A1617" s="63"/>
      <c r="B1617" s="64"/>
      <c r="C1617" s="65"/>
      <c r="D1617" s="66"/>
      <c r="E1617" s="67"/>
      <c r="G1617" s="69"/>
    </row>
    <row r="1618" spans="1:7" s="68" customFormat="1" ht="15.6" x14ac:dyDescent="0.3">
      <c r="A1618" s="63"/>
      <c r="B1618" s="64"/>
      <c r="C1618" s="65"/>
      <c r="D1618" s="66"/>
      <c r="E1618" s="67"/>
      <c r="G1618" s="69"/>
    </row>
    <row r="1619" spans="1:7" s="68" customFormat="1" ht="15.6" x14ac:dyDescent="0.3">
      <c r="A1619" s="63"/>
      <c r="B1619" s="64"/>
      <c r="C1619" s="65"/>
      <c r="D1619" s="66"/>
      <c r="E1619" s="67"/>
      <c r="G1619" s="69"/>
    </row>
    <row r="1620" spans="1:7" s="68" customFormat="1" ht="15.6" x14ac:dyDescent="0.3">
      <c r="A1620" s="63"/>
      <c r="B1620" s="64"/>
      <c r="C1620" s="65"/>
      <c r="D1620" s="66"/>
      <c r="E1620" s="67"/>
      <c r="G1620" s="69"/>
    </row>
    <row r="1621" spans="1:7" s="68" customFormat="1" ht="15.6" x14ac:dyDescent="0.3">
      <c r="A1621" s="63"/>
      <c r="B1621" s="64"/>
      <c r="C1621" s="65"/>
      <c r="D1621" s="66"/>
      <c r="E1621" s="67"/>
      <c r="G1621" s="69"/>
    </row>
    <row r="1622" spans="1:7" s="68" customFormat="1" ht="15.6" x14ac:dyDescent="0.3">
      <c r="A1622" s="63"/>
      <c r="B1622" s="64"/>
      <c r="C1622" s="65"/>
      <c r="D1622" s="66"/>
      <c r="E1622" s="67"/>
      <c r="G1622" s="69"/>
    </row>
    <row r="1623" spans="1:7" s="68" customFormat="1" ht="15.6" x14ac:dyDescent="0.3">
      <c r="A1623" s="63"/>
      <c r="B1623" s="64"/>
      <c r="C1623" s="65"/>
      <c r="D1623" s="66"/>
      <c r="E1623" s="67"/>
      <c r="G1623" s="69"/>
    </row>
    <row r="1624" spans="1:7" s="68" customFormat="1" ht="15.6" x14ac:dyDescent="0.3">
      <c r="A1624" s="63"/>
      <c r="B1624" s="64"/>
      <c r="C1624" s="65"/>
      <c r="D1624" s="66"/>
      <c r="E1624" s="67"/>
      <c r="G1624" s="69"/>
    </row>
    <row r="1625" spans="1:7" s="68" customFormat="1" ht="15.6" x14ac:dyDescent="0.3">
      <c r="A1625" s="63"/>
      <c r="B1625" s="64"/>
      <c r="C1625" s="65"/>
      <c r="D1625" s="66"/>
      <c r="E1625" s="67"/>
      <c r="G1625" s="69"/>
    </row>
    <row r="1626" spans="1:7" s="68" customFormat="1" ht="15.6" x14ac:dyDescent="0.3">
      <c r="A1626" s="63"/>
      <c r="B1626" s="64"/>
      <c r="C1626" s="65"/>
      <c r="D1626" s="66"/>
      <c r="E1626" s="67"/>
      <c r="G1626" s="69"/>
    </row>
    <row r="1627" spans="1:7" s="68" customFormat="1" ht="15.6" x14ac:dyDescent="0.3">
      <c r="A1627" s="63"/>
      <c r="B1627" s="64"/>
      <c r="C1627" s="65"/>
      <c r="D1627" s="66"/>
      <c r="E1627" s="67"/>
      <c r="G1627" s="69"/>
    </row>
    <row r="1628" spans="1:7" s="68" customFormat="1" ht="15.6" x14ac:dyDescent="0.3">
      <c r="A1628" s="63"/>
      <c r="B1628" s="64"/>
      <c r="C1628" s="65"/>
      <c r="D1628" s="66"/>
      <c r="E1628" s="67"/>
      <c r="G1628" s="69"/>
    </row>
    <row r="1629" spans="1:7" s="68" customFormat="1" ht="15.6" x14ac:dyDescent="0.3">
      <c r="A1629" s="63"/>
      <c r="B1629" s="64"/>
      <c r="C1629" s="65"/>
      <c r="D1629" s="66"/>
      <c r="E1629" s="67"/>
      <c r="G1629" s="69"/>
    </row>
    <row r="1630" spans="1:7" s="68" customFormat="1" ht="15.6" x14ac:dyDescent="0.3">
      <c r="A1630" s="63"/>
      <c r="B1630" s="64"/>
      <c r="C1630" s="65"/>
      <c r="D1630" s="66"/>
      <c r="E1630" s="67"/>
      <c r="G1630" s="69"/>
    </row>
    <row r="1631" spans="1:7" s="68" customFormat="1" ht="15.6" x14ac:dyDescent="0.3">
      <c r="A1631" s="63"/>
      <c r="B1631" s="64"/>
      <c r="C1631" s="65"/>
      <c r="D1631" s="66"/>
      <c r="E1631" s="67"/>
      <c r="G1631" s="69"/>
    </row>
    <row r="1632" spans="1:7" s="68" customFormat="1" ht="15.6" x14ac:dyDescent="0.3">
      <c r="A1632" s="63"/>
      <c r="B1632" s="64"/>
      <c r="C1632" s="65"/>
      <c r="D1632" s="66"/>
      <c r="E1632" s="67"/>
      <c r="G1632" s="69"/>
    </row>
    <row r="1633" spans="1:7" s="68" customFormat="1" ht="15.6" x14ac:dyDescent="0.3">
      <c r="A1633" s="63"/>
      <c r="B1633" s="64"/>
      <c r="C1633" s="65"/>
      <c r="D1633" s="66"/>
      <c r="E1633" s="67"/>
      <c r="G1633" s="69"/>
    </row>
    <row r="1634" spans="1:7" s="68" customFormat="1" ht="15.6" x14ac:dyDescent="0.3">
      <c r="A1634" s="63"/>
      <c r="B1634" s="64"/>
      <c r="C1634" s="65"/>
      <c r="D1634" s="66"/>
      <c r="E1634" s="67"/>
      <c r="G1634" s="69"/>
    </row>
    <row r="1635" spans="1:7" s="68" customFormat="1" ht="15.6" x14ac:dyDescent="0.3">
      <c r="A1635" s="63"/>
      <c r="B1635" s="64"/>
      <c r="C1635" s="65"/>
      <c r="D1635" s="66"/>
      <c r="E1635" s="67"/>
      <c r="G1635" s="69"/>
    </row>
    <row r="1636" spans="1:7" s="68" customFormat="1" ht="15.6" x14ac:dyDescent="0.3">
      <c r="A1636" s="63"/>
      <c r="B1636" s="64"/>
      <c r="C1636" s="65"/>
      <c r="D1636" s="66"/>
      <c r="E1636" s="67"/>
      <c r="G1636" s="69"/>
    </row>
    <row r="1637" spans="1:7" s="68" customFormat="1" ht="15.6" x14ac:dyDescent="0.3">
      <c r="A1637" s="63"/>
      <c r="B1637" s="64"/>
      <c r="C1637" s="65"/>
      <c r="D1637" s="66"/>
      <c r="E1637" s="67"/>
      <c r="G1637" s="69"/>
    </row>
    <row r="1638" spans="1:7" s="68" customFormat="1" ht="15.6" x14ac:dyDescent="0.3">
      <c r="A1638" s="63"/>
      <c r="B1638" s="64"/>
      <c r="C1638" s="65"/>
      <c r="D1638" s="66"/>
      <c r="E1638" s="67"/>
      <c r="G1638" s="69"/>
    </row>
    <row r="1639" spans="1:7" s="68" customFormat="1" ht="15.6" x14ac:dyDescent="0.3">
      <c r="A1639" s="63"/>
      <c r="B1639" s="64"/>
      <c r="C1639" s="65"/>
      <c r="D1639" s="66"/>
      <c r="E1639" s="67"/>
      <c r="G1639" s="69"/>
    </row>
    <row r="1640" spans="1:7" s="68" customFormat="1" ht="15.6" x14ac:dyDescent="0.3">
      <c r="A1640" s="63"/>
      <c r="B1640" s="64"/>
      <c r="C1640" s="65"/>
      <c r="D1640" s="66"/>
      <c r="E1640" s="67"/>
      <c r="G1640" s="69"/>
    </row>
    <row r="1641" spans="1:7" s="68" customFormat="1" ht="15.6" x14ac:dyDescent="0.3">
      <c r="A1641" s="63"/>
      <c r="B1641" s="64"/>
      <c r="C1641" s="65"/>
      <c r="D1641" s="66"/>
      <c r="E1641" s="67"/>
      <c r="G1641" s="69"/>
    </row>
    <row r="1642" spans="1:7" s="68" customFormat="1" ht="15.6" x14ac:dyDescent="0.3">
      <c r="A1642" s="63"/>
      <c r="B1642" s="64"/>
      <c r="C1642" s="65"/>
      <c r="D1642" s="66"/>
      <c r="E1642" s="67"/>
      <c r="G1642" s="69"/>
    </row>
    <row r="1643" spans="1:7" s="68" customFormat="1" ht="15.6" x14ac:dyDescent="0.3">
      <c r="A1643" s="63"/>
      <c r="B1643" s="64"/>
      <c r="C1643" s="65"/>
      <c r="D1643" s="66"/>
      <c r="E1643" s="67"/>
      <c r="G1643" s="69"/>
    </row>
    <row r="1644" spans="1:7" s="68" customFormat="1" ht="15.6" x14ac:dyDescent="0.3">
      <c r="A1644" s="63"/>
      <c r="B1644" s="64"/>
      <c r="C1644" s="65"/>
      <c r="D1644" s="66"/>
      <c r="E1644" s="67"/>
      <c r="G1644" s="69"/>
    </row>
    <row r="1645" spans="1:7" s="68" customFormat="1" ht="15.6" x14ac:dyDescent="0.3">
      <c r="A1645" s="63"/>
      <c r="B1645" s="64"/>
      <c r="C1645" s="65"/>
      <c r="D1645" s="66"/>
      <c r="E1645" s="67"/>
      <c r="G1645" s="69"/>
    </row>
    <row r="1646" spans="1:7" s="68" customFormat="1" ht="15.6" x14ac:dyDescent="0.3">
      <c r="A1646" s="63"/>
      <c r="B1646" s="64"/>
      <c r="C1646" s="65"/>
      <c r="D1646" s="66"/>
      <c r="E1646" s="67"/>
      <c r="G1646" s="69"/>
    </row>
    <row r="1647" spans="1:7" s="68" customFormat="1" ht="15.6" x14ac:dyDescent="0.3">
      <c r="A1647" s="63"/>
      <c r="B1647" s="64"/>
      <c r="C1647" s="65"/>
      <c r="D1647" s="66"/>
      <c r="E1647" s="67"/>
      <c r="G1647" s="69"/>
    </row>
    <row r="1648" spans="1:7" s="68" customFormat="1" ht="15.6" x14ac:dyDescent="0.3">
      <c r="A1648" s="63"/>
      <c r="B1648" s="64"/>
      <c r="C1648" s="65"/>
      <c r="D1648" s="66"/>
      <c r="E1648" s="67"/>
      <c r="G1648" s="69"/>
    </row>
    <row r="1649" spans="1:7" s="68" customFormat="1" ht="15.6" x14ac:dyDescent="0.3">
      <c r="A1649" s="63"/>
      <c r="B1649" s="64"/>
      <c r="C1649" s="65"/>
      <c r="D1649" s="66"/>
      <c r="E1649" s="67"/>
      <c r="G1649" s="69"/>
    </row>
    <row r="1650" spans="1:7" s="68" customFormat="1" ht="15.6" x14ac:dyDescent="0.3">
      <c r="A1650" s="63"/>
      <c r="B1650" s="64"/>
      <c r="C1650" s="65"/>
      <c r="D1650" s="66"/>
      <c r="E1650" s="67"/>
      <c r="G1650" s="69"/>
    </row>
    <row r="1651" spans="1:7" s="68" customFormat="1" ht="15.6" x14ac:dyDescent="0.3">
      <c r="A1651" s="63"/>
      <c r="B1651" s="64"/>
      <c r="C1651" s="65"/>
      <c r="D1651" s="66"/>
      <c r="E1651" s="67"/>
      <c r="G1651" s="69"/>
    </row>
    <row r="1652" spans="1:7" s="68" customFormat="1" ht="15.6" x14ac:dyDescent="0.3">
      <c r="A1652" s="63"/>
      <c r="B1652" s="64"/>
      <c r="C1652" s="65"/>
      <c r="D1652" s="66"/>
      <c r="E1652" s="67"/>
      <c r="G1652" s="69"/>
    </row>
    <row r="1653" spans="1:7" s="68" customFormat="1" ht="15.6" x14ac:dyDescent="0.3">
      <c r="A1653" s="63"/>
      <c r="B1653" s="64"/>
      <c r="C1653" s="65"/>
      <c r="D1653" s="66"/>
      <c r="E1653" s="67"/>
      <c r="G1653" s="69"/>
    </row>
    <row r="1654" spans="1:7" s="68" customFormat="1" ht="15.6" x14ac:dyDescent="0.3">
      <c r="A1654" s="63"/>
      <c r="B1654" s="64"/>
      <c r="C1654" s="65"/>
      <c r="D1654" s="66"/>
      <c r="E1654" s="67"/>
      <c r="G1654" s="69"/>
    </row>
    <row r="1655" spans="1:7" s="68" customFormat="1" ht="15.6" x14ac:dyDescent="0.3">
      <c r="A1655" s="63"/>
      <c r="B1655" s="64"/>
      <c r="C1655" s="65"/>
      <c r="D1655" s="66"/>
      <c r="E1655" s="67"/>
      <c r="G1655" s="69"/>
    </row>
    <row r="1656" spans="1:7" s="68" customFormat="1" ht="15.6" x14ac:dyDescent="0.3">
      <c r="A1656" s="63"/>
      <c r="B1656" s="64"/>
      <c r="C1656" s="65"/>
      <c r="D1656" s="66"/>
      <c r="E1656" s="67"/>
      <c r="G1656" s="69"/>
    </row>
    <row r="1657" spans="1:7" s="68" customFormat="1" ht="15.6" x14ac:dyDescent="0.3">
      <c r="A1657" s="63"/>
      <c r="B1657" s="64"/>
      <c r="C1657" s="65"/>
      <c r="D1657" s="66"/>
      <c r="E1657" s="67"/>
      <c r="G1657" s="69"/>
    </row>
    <row r="1658" spans="1:7" s="68" customFormat="1" ht="15.6" x14ac:dyDescent="0.3">
      <c r="A1658" s="63"/>
      <c r="B1658" s="64"/>
      <c r="C1658" s="65"/>
      <c r="D1658" s="66"/>
      <c r="E1658" s="67"/>
      <c r="G1658" s="69"/>
    </row>
    <row r="1659" spans="1:7" s="68" customFormat="1" ht="15.6" x14ac:dyDescent="0.3">
      <c r="A1659" s="63"/>
      <c r="B1659" s="64"/>
      <c r="C1659" s="65"/>
      <c r="D1659" s="66"/>
      <c r="E1659" s="67"/>
      <c r="G1659" s="69"/>
    </row>
    <row r="1660" spans="1:7" s="68" customFormat="1" ht="15.6" x14ac:dyDescent="0.3">
      <c r="A1660" s="63"/>
      <c r="B1660" s="64"/>
      <c r="C1660" s="65"/>
      <c r="D1660" s="66"/>
      <c r="E1660" s="67"/>
      <c r="G1660" s="69"/>
    </row>
    <row r="1661" spans="1:7" s="68" customFormat="1" ht="15.6" x14ac:dyDescent="0.3">
      <c r="A1661" s="63"/>
      <c r="B1661" s="64"/>
      <c r="C1661" s="65"/>
      <c r="D1661" s="66"/>
      <c r="E1661" s="67"/>
      <c r="G1661" s="69"/>
    </row>
    <row r="1662" spans="1:7" s="68" customFormat="1" ht="15.6" x14ac:dyDescent="0.3">
      <c r="A1662" s="63"/>
      <c r="B1662" s="64"/>
      <c r="C1662" s="65"/>
      <c r="D1662" s="66"/>
      <c r="E1662" s="67"/>
      <c r="G1662" s="69"/>
    </row>
    <row r="1663" spans="1:7" s="68" customFormat="1" ht="15.6" x14ac:dyDescent="0.3">
      <c r="A1663" s="63"/>
      <c r="B1663" s="64"/>
      <c r="C1663" s="65"/>
      <c r="D1663" s="66"/>
      <c r="E1663" s="67"/>
      <c r="G1663" s="69"/>
    </row>
    <row r="1664" spans="1:7" s="68" customFormat="1" ht="15.6" x14ac:dyDescent="0.3">
      <c r="A1664" s="63"/>
      <c r="B1664" s="64"/>
      <c r="C1664" s="65"/>
      <c r="D1664" s="66"/>
      <c r="E1664" s="67"/>
      <c r="G1664" s="69"/>
    </row>
    <row r="1665" spans="1:7" s="68" customFormat="1" ht="15.6" x14ac:dyDescent="0.3">
      <c r="A1665" s="63"/>
      <c r="B1665" s="64"/>
      <c r="C1665" s="65"/>
      <c r="D1665" s="66"/>
      <c r="E1665" s="67"/>
      <c r="G1665" s="69"/>
    </row>
    <row r="1666" spans="1:7" s="68" customFormat="1" ht="15.6" x14ac:dyDescent="0.3">
      <c r="A1666" s="63"/>
      <c r="B1666" s="64"/>
      <c r="C1666" s="65"/>
      <c r="D1666" s="66"/>
      <c r="E1666" s="67"/>
      <c r="G1666" s="69"/>
    </row>
    <row r="1667" spans="1:7" s="68" customFormat="1" ht="15.6" x14ac:dyDescent="0.3">
      <c r="A1667" s="63"/>
      <c r="B1667" s="64"/>
      <c r="C1667" s="65"/>
      <c r="D1667" s="66"/>
      <c r="E1667" s="67"/>
      <c r="G1667" s="69"/>
    </row>
    <row r="1668" spans="1:7" s="68" customFormat="1" ht="15.6" x14ac:dyDescent="0.3">
      <c r="A1668" s="63"/>
      <c r="B1668" s="64"/>
      <c r="C1668" s="65"/>
      <c r="D1668" s="66"/>
      <c r="E1668" s="67"/>
      <c r="G1668" s="69"/>
    </row>
    <row r="1669" spans="1:7" s="68" customFormat="1" ht="15.6" x14ac:dyDescent="0.3">
      <c r="A1669" s="63"/>
      <c r="B1669" s="64"/>
      <c r="C1669" s="65"/>
      <c r="D1669" s="66"/>
      <c r="E1669" s="67"/>
      <c r="G1669" s="69"/>
    </row>
    <row r="1670" spans="1:7" s="68" customFormat="1" ht="15.6" x14ac:dyDescent="0.3">
      <c r="A1670" s="63"/>
      <c r="B1670" s="64"/>
      <c r="C1670" s="65"/>
      <c r="D1670" s="66"/>
      <c r="E1670" s="67"/>
      <c r="G1670" s="69"/>
    </row>
    <row r="1671" spans="1:7" s="68" customFormat="1" ht="15.6" x14ac:dyDescent="0.3">
      <c r="A1671" s="63"/>
      <c r="B1671" s="64"/>
      <c r="C1671" s="65"/>
      <c r="D1671" s="66"/>
      <c r="E1671" s="67"/>
      <c r="G1671" s="69"/>
    </row>
    <row r="1672" spans="1:7" s="68" customFormat="1" ht="15.6" x14ac:dyDescent="0.3">
      <c r="A1672" s="63"/>
      <c r="B1672" s="64"/>
      <c r="C1672" s="65"/>
      <c r="D1672" s="66"/>
      <c r="E1672" s="67"/>
      <c r="G1672" s="69"/>
    </row>
    <row r="1673" spans="1:7" s="68" customFormat="1" ht="15.6" x14ac:dyDescent="0.3">
      <c r="A1673" s="63"/>
      <c r="B1673" s="64"/>
      <c r="C1673" s="65"/>
      <c r="D1673" s="66"/>
      <c r="E1673" s="67"/>
      <c r="G1673" s="69"/>
    </row>
    <row r="1674" spans="1:7" s="68" customFormat="1" ht="15.6" x14ac:dyDescent="0.3">
      <c r="A1674" s="63"/>
      <c r="B1674" s="64"/>
      <c r="C1674" s="65"/>
      <c r="D1674" s="66"/>
      <c r="E1674" s="67"/>
      <c r="G1674" s="69"/>
    </row>
    <row r="1675" spans="1:7" s="68" customFormat="1" ht="15.6" x14ac:dyDescent="0.3">
      <c r="A1675" s="63"/>
      <c r="B1675" s="64"/>
      <c r="C1675" s="65"/>
      <c r="D1675" s="66"/>
      <c r="E1675" s="67"/>
      <c r="G1675" s="69"/>
    </row>
    <row r="1676" spans="1:7" s="68" customFormat="1" ht="15.6" x14ac:dyDescent="0.3">
      <c r="A1676" s="63"/>
      <c r="B1676" s="64"/>
      <c r="C1676" s="65"/>
      <c r="D1676" s="66"/>
      <c r="E1676" s="67"/>
      <c r="G1676" s="69"/>
    </row>
    <row r="1677" spans="1:7" s="68" customFormat="1" ht="15.6" x14ac:dyDescent="0.3">
      <c r="A1677" s="63"/>
      <c r="B1677" s="64"/>
      <c r="C1677" s="65"/>
      <c r="D1677" s="66"/>
      <c r="E1677" s="67"/>
      <c r="G1677" s="69"/>
    </row>
    <row r="1678" spans="1:7" s="68" customFormat="1" ht="15.6" x14ac:dyDescent="0.3">
      <c r="A1678" s="63"/>
      <c r="B1678" s="64"/>
      <c r="C1678" s="65"/>
      <c r="D1678" s="66"/>
      <c r="E1678" s="67"/>
      <c r="G1678" s="69"/>
    </row>
    <row r="1679" spans="1:7" s="68" customFormat="1" ht="15.6" x14ac:dyDescent="0.3">
      <c r="A1679" s="63"/>
      <c r="B1679" s="64"/>
      <c r="C1679" s="65"/>
      <c r="D1679" s="66"/>
      <c r="E1679" s="67"/>
      <c r="G1679" s="69"/>
    </row>
    <row r="1680" spans="1:7" s="68" customFormat="1" ht="15.6" x14ac:dyDescent="0.3">
      <c r="A1680" s="63"/>
      <c r="B1680" s="64"/>
      <c r="C1680" s="65"/>
      <c r="D1680" s="66"/>
      <c r="E1680" s="67"/>
      <c r="G1680" s="69"/>
    </row>
    <row r="1681" spans="1:7" s="68" customFormat="1" ht="15.6" x14ac:dyDescent="0.3">
      <c r="A1681" s="63"/>
      <c r="B1681" s="64"/>
      <c r="C1681" s="65"/>
      <c r="D1681" s="66"/>
      <c r="E1681" s="67"/>
      <c r="G1681" s="69"/>
    </row>
    <row r="1682" spans="1:7" s="68" customFormat="1" ht="15.6" x14ac:dyDescent="0.3">
      <c r="A1682" s="63"/>
      <c r="B1682" s="64"/>
      <c r="C1682" s="65"/>
      <c r="D1682" s="66"/>
      <c r="E1682" s="67"/>
      <c r="G1682" s="69"/>
    </row>
    <row r="1683" spans="1:7" s="68" customFormat="1" ht="15.6" x14ac:dyDescent="0.3">
      <c r="A1683" s="63"/>
      <c r="B1683" s="64"/>
      <c r="C1683" s="65"/>
      <c r="D1683" s="66"/>
      <c r="E1683" s="67"/>
      <c r="G1683" s="69"/>
    </row>
    <row r="1684" spans="1:7" s="68" customFormat="1" ht="15.6" x14ac:dyDescent="0.3">
      <c r="A1684" s="63"/>
      <c r="B1684" s="64"/>
      <c r="C1684" s="65"/>
      <c r="D1684" s="66"/>
      <c r="E1684" s="67"/>
      <c r="G1684" s="69"/>
    </row>
    <row r="1685" spans="1:7" s="68" customFormat="1" ht="15.6" x14ac:dyDescent="0.3">
      <c r="A1685" s="63"/>
      <c r="B1685" s="64"/>
      <c r="C1685" s="65"/>
      <c r="D1685" s="66"/>
      <c r="E1685" s="67"/>
      <c r="G1685" s="69"/>
    </row>
    <row r="1686" spans="1:7" s="68" customFormat="1" ht="15.6" x14ac:dyDescent="0.3">
      <c r="A1686" s="63"/>
      <c r="B1686" s="64"/>
      <c r="C1686" s="65"/>
      <c r="D1686" s="66"/>
      <c r="E1686" s="67"/>
      <c r="G1686" s="69"/>
    </row>
    <row r="1687" spans="1:7" s="68" customFormat="1" ht="15.6" x14ac:dyDescent="0.3">
      <c r="A1687" s="63"/>
      <c r="B1687" s="64"/>
      <c r="C1687" s="65"/>
      <c r="D1687" s="66"/>
      <c r="E1687" s="67"/>
      <c r="G1687" s="69"/>
    </row>
    <row r="1688" spans="1:7" s="68" customFormat="1" ht="15.6" x14ac:dyDescent="0.3">
      <c r="A1688" s="63"/>
      <c r="B1688" s="64"/>
      <c r="C1688" s="65"/>
      <c r="D1688" s="66"/>
      <c r="E1688" s="67"/>
      <c r="G1688" s="69"/>
    </row>
    <row r="1689" spans="1:7" s="68" customFormat="1" ht="15.6" x14ac:dyDescent="0.3">
      <c r="A1689" s="63"/>
      <c r="B1689" s="64"/>
      <c r="C1689" s="65"/>
      <c r="D1689" s="66"/>
      <c r="E1689" s="67"/>
      <c r="G1689" s="69"/>
    </row>
    <row r="1690" spans="1:7" s="68" customFormat="1" ht="15.6" x14ac:dyDescent="0.3">
      <c r="A1690" s="63"/>
      <c r="B1690" s="64"/>
      <c r="C1690" s="65"/>
      <c r="D1690" s="66"/>
      <c r="E1690" s="67"/>
      <c r="G1690" s="69"/>
    </row>
    <row r="1691" spans="1:7" s="68" customFormat="1" ht="15.6" x14ac:dyDescent="0.3">
      <c r="A1691" s="63"/>
      <c r="B1691" s="64"/>
      <c r="C1691" s="65"/>
      <c r="D1691" s="66"/>
      <c r="E1691" s="67"/>
      <c r="G1691" s="69"/>
    </row>
    <row r="1692" spans="1:7" s="68" customFormat="1" ht="15.6" x14ac:dyDescent="0.3">
      <c r="A1692" s="63"/>
      <c r="B1692" s="64"/>
      <c r="C1692" s="65"/>
      <c r="D1692" s="66"/>
      <c r="E1692" s="67"/>
      <c r="G1692" s="69"/>
    </row>
    <row r="1693" spans="1:7" s="68" customFormat="1" ht="15.6" x14ac:dyDescent="0.3">
      <c r="A1693" s="63"/>
      <c r="B1693" s="64"/>
      <c r="C1693" s="65"/>
      <c r="D1693" s="66"/>
      <c r="E1693" s="67"/>
      <c r="G1693" s="69"/>
    </row>
    <row r="1694" spans="1:7" s="68" customFormat="1" ht="15.6" x14ac:dyDescent="0.3">
      <c r="A1694" s="63"/>
      <c r="B1694" s="64"/>
      <c r="C1694" s="65"/>
      <c r="D1694" s="66"/>
      <c r="E1694" s="67"/>
      <c r="G1694" s="69"/>
    </row>
    <row r="1695" spans="1:7" s="68" customFormat="1" ht="15.6" x14ac:dyDescent="0.3">
      <c r="A1695" s="63"/>
      <c r="B1695" s="64"/>
      <c r="C1695" s="65"/>
      <c r="D1695" s="66"/>
      <c r="E1695" s="67"/>
      <c r="G1695" s="69"/>
    </row>
    <row r="1696" spans="1:7" s="68" customFormat="1" ht="15.6" x14ac:dyDescent="0.3">
      <c r="A1696" s="63"/>
      <c r="B1696" s="64"/>
      <c r="C1696" s="65"/>
      <c r="D1696" s="66"/>
      <c r="E1696" s="67"/>
      <c r="G1696" s="69"/>
    </row>
    <row r="1697" spans="1:7" s="68" customFormat="1" ht="15.6" x14ac:dyDescent="0.3">
      <c r="A1697" s="63"/>
      <c r="B1697" s="64"/>
      <c r="C1697" s="65"/>
      <c r="D1697" s="66"/>
      <c r="E1697" s="67"/>
      <c r="G1697" s="69"/>
    </row>
    <row r="1698" spans="1:7" s="68" customFormat="1" ht="15.6" x14ac:dyDescent="0.3">
      <c r="A1698" s="63"/>
      <c r="B1698" s="64"/>
      <c r="C1698" s="65"/>
      <c r="D1698" s="66"/>
      <c r="E1698" s="67"/>
      <c r="G1698" s="69"/>
    </row>
    <row r="1699" spans="1:7" s="68" customFormat="1" ht="15.6" x14ac:dyDescent="0.3">
      <c r="A1699" s="63"/>
      <c r="B1699" s="64"/>
      <c r="C1699" s="65"/>
      <c r="D1699" s="66"/>
      <c r="E1699" s="67"/>
      <c r="G1699" s="69"/>
    </row>
    <row r="1700" spans="1:7" s="68" customFormat="1" ht="15.6" x14ac:dyDescent="0.3">
      <c r="A1700" s="63"/>
      <c r="B1700" s="64"/>
      <c r="C1700" s="65"/>
      <c r="D1700" s="66"/>
      <c r="E1700" s="67"/>
      <c r="G1700" s="69"/>
    </row>
    <row r="1701" spans="1:7" s="68" customFormat="1" ht="15.6" x14ac:dyDescent="0.3">
      <c r="A1701" s="63"/>
      <c r="B1701" s="64"/>
      <c r="C1701" s="65"/>
      <c r="D1701" s="66"/>
      <c r="E1701" s="67"/>
      <c r="G1701" s="69"/>
    </row>
    <row r="1702" spans="1:7" s="68" customFormat="1" ht="15.6" x14ac:dyDescent="0.3">
      <c r="A1702" s="63"/>
      <c r="B1702" s="64"/>
      <c r="C1702" s="65"/>
      <c r="D1702" s="66"/>
      <c r="E1702" s="67"/>
      <c r="G1702" s="69"/>
    </row>
    <row r="1703" spans="1:7" s="68" customFormat="1" ht="15.6" x14ac:dyDescent="0.3">
      <c r="A1703" s="63"/>
      <c r="B1703" s="64"/>
      <c r="C1703" s="65"/>
      <c r="D1703" s="66"/>
      <c r="E1703" s="67"/>
      <c r="G1703" s="69"/>
    </row>
    <row r="1704" spans="1:7" s="68" customFormat="1" ht="15.6" x14ac:dyDescent="0.3">
      <c r="A1704" s="63"/>
      <c r="B1704" s="64"/>
      <c r="C1704" s="65"/>
      <c r="D1704" s="66"/>
      <c r="E1704" s="67"/>
      <c r="G1704" s="69"/>
    </row>
    <row r="1705" spans="1:7" s="68" customFormat="1" ht="15.6" x14ac:dyDescent="0.3">
      <c r="A1705" s="63"/>
      <c r="B1705" s="64"/>
      <c r="C1705" s="65"/>
      <c r="D1705" s="66"/>
      <c r="E1705" s="67"/>
      <c r="G1705" s="69"/>
    </row>
    <row r="1706" spans="1:7" s="68" customFormat="1" ht="15.6" x14ac:dyDescent="0.3">
      <c r="A1706" s="63"/>
      <c r="B1706" s="64"/>
      <c r="C1706" s="65"/>
      <c r="D1706" s="66"/>
      <c r="E1706" s="67"/>
      <c r="G1706" s="69"/>
    </row>
    <row r="1707" spans="1:7" s="68" customFormat="1" ht="15.6" x14ac:dyDescent="0.3">
      <c r="A1707" s="63"/>
      <c r="B1707" s="64"/>
      <c r="C1707" s="65"/>
      <c r="D1707" s="66"/>
      <c r="E1707" s="67"/>
      <c r="G1707" s="69"/>
    </row>
    <row r="1708" spans="1:7" s="68" customFormat="1" ht="15.6" x14ac:dyDescent="0.3">
      <c r="A1708" s="63"/>
      <c r="B1708" s="64"/>
      <c r="C1708" s="65"/>
      <c r="D1708" s="66"/>
      <c r="E1708" s="67"/>
      <c r="G1708" s="69"/>
    </row>
    <row r="1709" spans="1:7" s="68" customFormat="1" ht="15.6" x14ac:dyDescent="0.3">
      <c r="A1709" s="63"/>
      <c r="B1709" s="64"/>
      <c r="C1709" s="65"/>
      <c r="D1709" s="66"/>
      <c r="E1709" s="67"/>
      <c r="G1709" s="69"/>
    </row>
    <row r="1710" spans="1:7" s="68" customFormat="1" ht="15.6" x14ac:dyDescent="0.3">
      <c r="A1710" s="63"/>
      <c r="B1710" s="64"/>
      <c r="C1710" s="65"/>
      <c r="D1710" s="66"/>
      <c r="E1710" s="67"/>
      <c r="G1710" s="69"/>
    </row>
    <row r="1711" spans="1:7" s="68" customFormat="1" ht="15.6" x14ac:dyDescent="0.3">
      <c r="A1711" s="63"/>
      <c r="B1711" s="64"/>
      <c r="C1711" s="65"/>
      <c r="D1711" s="66"/>
      <c r="E1711" s="67"/>
      <c r="G1711" s="69"/>
    </row>
    <row r="1712" spans="1:7" s="68" customFormat="1" ht="15.6" x14ac:dyDescent="0.3">
      <c r="A1712" s="63"/>
      <c r="B1712" s="64"/>
      <c r="C1712" s="65"/>
      <c r="D1712" s="66"/>
      <c r="E1712" s="67"/>
      <c r="G1712" s="69"/>
    </row>
    <row r="1713" spans="1:7" s="68" customFormat="1" ht="15.6" x14ac:dyDescent="0.3">
      <c r="A1713" s="63"/>
      <c r="B1713" s="64"/>
      <c r="C1713" s="65"/>
      <c r="D1713" s="66"/>
      <c r="E1713" s="67"/>
      <c r="G1713" s="69"/>
    </row>
    <row r="1714" spans="1:7" s="68" customFormat="1" ht="15.6" x14ac:dyDescent="0.3">
      <c r="A1714" s="63"/>
      <c r="B1714" s="64"/>
      <c r="C1714" s="65"/>
      <c r="D1714" s="66"/>
      <c r="E1714" s="67"/>
      <c r="G1714" s="69"/>
    </row>
    <row r="1715" spans="1:7" s="68" customFormat="1" ht="15.6" x14ac:dyDescent="0.3">
      <c r="A1715" s="63"/>
      <c r="B1715" s="64"/>
      <c r="C1715" s="65"/>
      <c r="D1715" s="66"/>
      <c r="E1715" s="67"/>
      <c r="G1715" s="69"/>
    </row>
    <row r="1716" spans="1:7" s="68" customFormat="1" ht="15.6" x14ac:dyDescent="0.3">
      <c r="A1716" s="63"/>
      <c r="B1716" s="64"/>
      <c r="C1716" s="65"/>
      <c r="D1716" s="66"/>
      <c r="E1716" s="67"/>
      <c r="G1716" s="69"/>
    </row>
    <row r="1717" spans="1:7" s="68" customFormat="1" ht="15.6" x14ac:dyDescent="0.3">
      <c r="A1717" s="63"/>
      <c r="B1717" s="64"/>
      <c r="C1717" s="65"/>
      <c r="D1717" s="66"/>
      <c r="E1717" s="67"/>
      <c r="G1717" s="69"/>
    </row>
    <row r="1718" spans="1:7" s="68" customFormat="1" ht="15.6" x14ac:dyDescent="0.3">
      <c r="A1718" s="63"/>
      <c r="B1718" s="64"/>
      <c r="C1718" s="65"/>
      <c r="D1718" s="66"/>
      <c r="E1718" s="67"/>
      <c r="G1718" s="69"/>
    </row>
    <row r="1719" spans="1:7" s="68" customFormat="1" ht="15.6" x14ac:dyDescent="0.3">
      <c r="A1719" s="63"/>
      <c r="B1719" s="64"/>
      <c r="C1719" s="65"/>
      <c r="D1719" s="66"/>
      <c r="E1719" s="67"/>
      <c r="G1719" s="69"/>
    </row>
    <row r="1720" spans="1:7" s="68" customFormat="1" ht="15.6" x14ac:dyDescent="0.3">
      <c r="A1720" s="63"/>
      <c r="B1720" s="64"/>
      <c r="C1720" s="65"/>
      <c r="D1720" s="66"/>
      <c r="E1720" s="67"/>
      <c r="G1720" s="69"/>
    </row>
    <row r="1721" spans="1:7" s="68" customFormat="1" ht="15.6" x14ac:dyDescent="0.3">
      <c r="A1721" s="63"/>
      <c r="B1721" s="64"/>
      <c r="C1721" s="65"/>
      <c r="D1721" s="66"/>
      <c r="E1721" s="67"/>
      <c r="G1721" s="69"/>
    </row>
    <row r="1722" spans="1:7" s="68" customFormat="1" ht="15.6" x14ac:dyDescent="0.3">
      <c r="A1722" s="63"/>
      <c r="B1722" s="64"/>
      <c r="C1722" s="65"/>
      <c r="D1722" s="66"/>
      <c r="E1722" s="67"/>
      <c r="G1722" s="69"/>
    </row>
    <row r="1723" spans="1:7" s="68" customFormat="1" ht="15.6" x14ac:dyDescent="0.3">
      <c r="A1723" s="63"/>
      <c r="B1723" s="64"/>
      <c r="C1723" s="65"/>
      <c r="D1723" s="66"/>
      <c r="E1723" s="67"/>
      <c r="G1723" s="69"/>
    </row>
    <row r="1724" spans="1:7" s="68" customFormat="1" ht="15.6" x14ac:dyDescent="0.3">
      <c r="A1724" s="63"/>
      <c r="B1724" s="64"/>
      <c r="C1724" s="65"/>
      <c r="D1724" s="66"/>
      <c r="E1724" s="67"/>
      <c r="G1724" s="69"/>
    </row>
    <row r="1725" spans="1:7" s="68" customFormat="1" ht="15.6" x14ac:dyDescent="0.3">
      <c r="A1725" s="63"/>
      <c r="B1725" s="64"/>
      <c r="C1725" s="65"/>
      <c r="D1725" s="66"/>
      <c r="E1725" s="67"/>
      <c r="G1725" s="69"/>
    </row>
    <row r="1726" spans="1:7" s="68" customFormat="1" ht="15.6" x14ac:dyDescent="0.3">
      <c r="A1726" s="63"/>
      <c r="B1726" s="64"/>
      <c r="C1726" s="65"/>
      <c r="D1726" s="66"/>
      <c r="E1726" s="67"/>
      <c r="G1726" s="69"/>
    </row>
    <row r="1727" spans="1:7" s="68" customFormat="1" ht="15.6" x14ac:dyDescent="0.3">
      <c r="A1727" s="63"/>
      <c r="B1727" s="64"/>
      <c r="C1727" s="65"/>
      <c r="D1727" s="66"/>
      <c r="E1727" s="67"/>
      <c r="G1727" s="69"/>
    </row>
    <row r="1728" spans="1:7" s="68" customFormat="1" ht="15.6" x14ac:dyDescent="0.3">
      <c r="A1728" s="63"/>
      <c r="B1728" s="64"/>
      <c r="C1728" s="65"/>
      <c r="D1728" s="66"/>
      <c r="E1728" s="67"/>
      <c r="G1728" s="69"/>
    </row>
    <row r="1729" spans="1:7" s="68" customFormat="1" ht="15.6" x14ac:dyDescent="0.3">
      <c r="A1729" s="63"/>
      <c r="B1729" s="64"/>
      <c r="C1729" s="65"/>
      <c r="D1729" s="66"/>
      <c r="E1729" s="67"/>
      <c r="G1729" s="69"/>
    </row>
    <row r="1730" spans="1:7" s="68" customFormat="1" ht="15.6" x14ac:dyDescent="0.3">
      <c r="A1730" s="63"/>
      <c r="B1730" s="64"/>
      <c r="C1730" s="65"/>
      <c r="D1730" s="66"/>
      <c r="E1730" s="67"/>
      <c r="G1730" s="69"/>
    </row>
    <row r="1731" spans="1:7" s="68" customFormat="1" ht="15.6" x14ac:dyDescent="0.3">
      <c r="A1731" s="63"/>
      <c r="B1731" s="64"/>
      <c r="C1731" s="65"/>
      <c r="D1731" s="66"/>
      <c r="E1731" s="67"/>
      <c r="G1731" s="69"/>
    </row>
    <row r="1732" spans="1:7" s="68" customFormat="1" ht="15.6" x14ac:dyDescent="0.3">
      <c r="A1732" s="63"/>
      <c r="B1732" s="64"/>
      <c r="C1732" s="65"/>
      <c r="D1732" s="66"/>
      <c r="E1732" s="67"/>
      <c r="G1732" s="69"/>
    </row>
    <row r="1733" spans="1:7" s="68" customFormat="1" ht="15.6" x14ac:dyDescent="0.3">
      <c r="A1733" s="63"/>
      <c r="B1733" s="64"/>
      <c r="C1733" s="65"/>
      <c r="D1733" s="66"/>
      <c r="E1733" s="67"/>
      <c r="G1733" s="69"/>
    </row>
    <row r="1734" spans="1:7" s="68" customFormat="1" ht="15.6" x14ac:dyDescent="0.3">
      <c r="A1734" s="63"/>
      <c r="B1734" s="64"/>
      <c r="C1734" s="65"/>
      <c r="D1734" s="66"/>
      <c r="E1734" s="67"/>
      <c r="G1734" s="69"/>
    </row>
    <row r="1735" spans="1:7" s="68" customFormat="1" ht="15.6" x14ac:dyDescent="0.3">
      <c r="A1735" s="63"/>
      <c r="B1735" s="64"/>
      <c r="C1735" s="65"/>
      <c r="D1735" s="66"/>
      <c r="E1735" s="67"/>
      <c r="G1735" s="69"/>
    </row>
    <row r="1736" spans="1:7" s="68" customFormat="1" ht="15.6" x14ac:dyDescent="0.3">
      <c r="A1736" s="63"/>
      <c r="B1736" s="64"/>
      <c r="C1736" s="65"/>
      <c r="D1736" s="66"/>
      <c r="E1736" s="67"/>
      <c r="G1736" s="69"/>
    </row>
    <row r="1737" spans="1:7" s="68" customFormat="1" ht="15.6" x14ac:dyDescent="0.3">
      <c r="A1737" s="63"/>
      <c r="B1737" s="64"/>
      <c r="C1737" s="65"/>
      <c r="D1737" s="66"/>
      <c r="E1737" s="67"/>
      <c r="G1737" s="69"/>
    </row>
    <row r="1738" spans="1:7" s="68" customFormat="1" ht="15.6" x14ac:dyDescent="0.3">
      <c r="A1738" s="63"/>
      <c r="B1738" s="64"/>
      <c r="C1738" s="65"/>
      <c r="D1738" s="66"/>
      <c r="E1738" s="67"/>
      <c r="G1738" s="69"/>
    </row>
    <row r="1739" spans="1:7" s="68" customFormat="1" ht="15.6" x14ac:dyDescent="0.3">
      <c r="A1739" s="63"/>
      <c r="B1739" s="64"/>
      <c r="C1739" s="65"/>
      <c r="D1739" s="66"/>
      <c r="E1739" s="67"/>
      <c r="G1739" s="69"/>
    </row>
    <row r="1740" spans="1:7" s="68" customFormat="1" ht="15.6" x14ac:dyDescent="0.3">
      <c r="A1740" s="63"/>
      <c r="B1740" s="64"/>
      <c r="C1740" s="65"/>
      <c r="D1740" s="66"/>
      <c r="E1740" s="67"/>
      <c r="G1740" s="69"/>
    </row>
    <row r="1741" spans="1:7" s="68" customFormat="1" ht="15.6" x14ac:dyDescent="0.3">
      <c r="A1741" s="63"/>
      <c r="B1741" s="64"/>
      <c r="C1741" s="65"/>
      <c r="D1741" s="66"/>
      <c r="E1741" s="67"/>
      <c r="G1741" s="69"/>
    </row>
    <row r="1742" spans="1:7" s="68" customFormat="1" ht="15.6" x14ac:dyDescent="0.3">
      <c r="A1742" s="63"/>
      <c r="B1742" s="64"/>
      <c r="C1742" s="65"/>
      <c r="D1742" s="66"/>
      <c r="E1742" s="67"/>
      <c r="G1742" s="69"/>
    </row>
    <row r="1743" spans="1:7" s="68" customFormat="1" ht="15.6" x14ac:dyDescent="0.3">
      <c r="A1743" s="63"/>
      <c r="B1743" s="64"/>
      <c r="C1743" s="65"/>
      <c r="D1743" s="66"/>
      <c r="E1743" s="67"/>
      <c r="G1743" s="69"/>
    </row>
    <row r="1744" spans="1:7" s="68" customFormat="1" ht="15.6" x14ac:dyDescent="0.3">
      <c r="A1744" s="63"/>
      <c r="B1744" s="64"/>
      <c r="C1744" s="65"/>
      <c r="D1744" s="66"/>
      <c r="E1744" s="67"/>
      <c r="G1744" s="69"/>
    </row>
    <row r="1745" spans="1:7" s="68" customFormat="1" ht="15.6" x14ac:dyDescent="0.3">
      <c r="A1745" s="63"/>
      <c r="B1745" s="64"/>
      <c r="C1745" s="65"/>
      <c r="D1745" s="66"/>
      <c r="E1745" s="67"/>
      <c r="G1745" s="69"/>
    </row>
    <row r="1746" spans="1:7" s="68" customFormat="1" ht="15.6" x14ac:dyDescent="0.3">
      <c r="A1746" s="63"/>
      <c r="B1746" s="64"/>
      <c r="C1746" s="65"/>
      <c r="D1746" s="66"/>
      <c r="E1746" s="67"/>
      <c r="G1746" s="69"/>
    </row>
    <row r="1747" spans="1:7" s="68" customFormat="1" ht="15.6" x14ac:dyDescent="0.3">
      <c r="A1747" s="63"/>
      <c r="B1747" s="64"/>
      <c r="C1747" s="65"/>
      <c r="D1747" s="66"/>
      <c r="E1747" s="67"/>
      <c r="G1747" s="69"/>
    </row>
    <row r="1748" spans="1:7" s="68" customFormat="1" ht="15.6" x14ac:dyDescent="0.3">
      <c r="A1748" s="63"/>
      <c r="B1748" s="64"/>
      <c r="C1748" s="65"/>
      <c r="D1748" s="66"/>
      <c r="E1748" s="67"/>
      <c r="G1748" s="69"/>
    </row>
    <row r="1749" spans="1:7" s="68" customFormat="1" ht="15.6" x14ac:dyDescent="0.3">
      <c r="A1749" s="63"/>
      <c r="B1749" s="64"/>
      <c r="C1749" s="65"/>
      <c r="D1749" s="66"/>
      <c r="E1749" s="67"/>
      <c r="G1749" s="69"/>
    </row>
    <row r="1750" spans="1:7" s="68" customFormat="1" ht="15.6" x14ac:dyDescent="0.3">
      <c r="A1750" s="63"/>
      <c r="B1750" s="64"/>
      <c r="C1750" s="65"/>
      <c r="D1750" s="66"/>
      <c r="E1750" s="67"/>
      <c r="G1750" s="69"/>
    </row>
    <row r="1751" spans="1:7" s="68" customFormat="1" ht="15.6" x14ac:dyDescent="0.3">
      <c r="A1751" s="63"/>
      <c r="B1751" s="64"/>
      <c r="C1751" s="65"/>
      <c r="D1751" s="66"/>
      <c r="E1751" s="67"/>
      <c r="G1751" s="69"/>
    </row>
    <row r="1752" spans="1:7" s="68" customFormat="1" ht="15.6" x14ac:dyDescent="0.3">
      <c r="A1752" s="63"/>
      <c r="B1752" s="64"/>
      <c r="C1752" s="65"/>
      <c r="D1752" s="66"/>
      <c r="E1752" s="67"/>
      <c r="G1752" s="69"/>
    </row>
    <row r="1753" spans="1:7" s="68" customFormat="1" ht="15.6" x14ac:dyDescent="0.3">
      <c r="A1753" s="63"/>
      <c r="B1753" s="64"/>
      <c r="C1753" s="65"/>
      <c r="D1753" s="66"/>
      <c r="E1753" s="67"/>
      <c r="G1753" s="69"/>
    </row>
    <row r="1754" spans="1:7" s="68" customFormat="1" ht="15.6" x14ac:dyDescent="0.3">
      <c r="A1754" s="63"/>
      <c r="B1754" s="64"/>
      <c r="C1754" s="65"/>
      <c r="D1754" s="66"/>
      <c r="E1754" s="67"/>
      <c r="G1754" s="69"/>
    </row>
    <row r="1755" spans="1:7" s="68" customFormat="1" ht="15.6" x14ac:dyDescent="0.3">
      <c r="A1755" s="63"/>
      <c r="B1755" s="64"/>
      <c r="C1755" s="65"/>
      <c r="D1755" s="66"/>
      <c r="E1755" s="67"/>
      <c r="G1755" s="69"/>
    </row>
    <row r="1756" spans="1:7" s="68" customFormat="1" ht="15.6" x14ac:dyDescent="0.3">
      <c r="A1756" s="63"/>
      <c r="B1756" s="64"/>
      <c r="C1756" s="65"/>
      <c r="D1756" s="66"/>
      <c r="E1756" s="67"/>
      <c r="G1756" s="69"/>
    </row>
    <row r="1757" spans="1:7" s="68" customFormat="1" ht="15.6" x14ac:dyDescent="0.3">
      <c r="A1757" s="63"/>
      <c r="B1757" s="64"/>
      <c r="C1757" s="65"/>
      <c r="D1757" s="66"/>
      <c r="E1757" s="67"/>
      <c r="G1757" s="69"/>
    </row>
    <row r="1758" spans="1:7" s="68" customFormat="1" ht="15.6" x14ac:dyDescent="0.3">
      <c r="A1758" s="63"/>
      <c r="B1758" s="64"/>
      <c r="C1758" s="65"/>
      <c r="D1758" s="66"/>
      <c r="E1758" s="67"/>
      <c r="G1758" s="69"/>
    </row>
    <row r="1759" spans="1:7" s="68" customFormat="1" ht="15.6" x14ac:dyDescent="0.3">
      <c r="A1759" s="63"/>
      <c r="B1759" s="64"/>
      <c r="C1759" s="65"/>
      <c r="D1759" s="66"/>
      <c r="E1759" s="67"/>
      <c r="G1759" s="69"/>
    </row>
    <row r="1760" spans="1:7" s="68" customFormat="1" ht="15.6" x14ac:dyDescent="0.3">
      <c r="A1760" s="63"/>
      <c r="B1760" s="64"/>
      <c r="C1760" s="65"/>
      <c r="D1760" s="66"/>
      <c r="E1760" s="67"/>
      <c r="G1760" s="69"/>
    </row>
    <row r="1761" spans="1:7" s="68" customFormat="1" ht="15.6" x14ac:dyDescent="0.3">
      <c r="A1761" s="63"/>
      <c r="B1761" s="64"/>
      <c r="C1761" s="65"/>
      <c r="D1761" s="66"/>
      <c r="E1761" s="67"/>
      <c r="G1761" s="69"/>
    </row>
    <row r="1762" spans="1:7" s="68" customFormat="1" ht="15.6" x14ac:dyDescent="0.3">
      <c r="A1762" s="63"/>
      <c r="B1762" s="64"/>
      <c r="C1762" s="65"/>
      <c r="D1762" s="66"/>
      <c r="E1762" s="67"/>
      <c r="G1762" s="69"/>
    </row>
    <row r="1763" spans="1:7" s="68" customFormat="1" ht="15.6" x14ac:dyDescent="0.3">
      <c r="A1763" s="63"/>
      <c r="B1763" s="64"/>
      <c r="C1763" s="65"/>
      <c r="D1763" s="66"/>
      <c r="E1763" s="67"/>
      <c r="G1763" s="69"/>
    </row>
    <row r="1764" spans="1:7" s="68" customFormat="1" ht="15.6" x14ac:dyDescent="0.3">
      <c r="A1764" s="63"/>
      <c r="B1764" s="64"/>
      <c r="C1764" s="65"/>
      <c r="D1764" s="66"/>
      <c r="E1764" s="67"/>
      <c r="G1764" s="69"/>
    </row>
    <row r="1765" spans="1:7" s="68" customFormat="1" ht="15.6" x14ac:dyDescent="0.3">
      <c r="A1765" s="63"/>
      <c r="B1765" s="64"/>
      <c r="C1765" s="65"/>
      <c r="D1765" s="66"/>
      <c r="E1765" s="67"/>
      <c r="G1765" s="69"/>
    </row>
    <row r="1766" spans="1:7" s="68" customFormat="1" ht="15.6" x14ac:dyDescent="0.3">
      <c r="A1766" s="63"/>
      <c r="B1766" s="64"/>
      <c r="C1766" s="65"/>
      <c r="D1766" s="66"/>
      <c r="E1766" s="67"/>
      <c r="G1766" s="69"/>
    </row>
    <row r="1767" spans="1:7" s="68" customFormat="1" ht="15.6" x14ac:dyDescent="0.3">
      <c r="A1767" s="63"/>
      <c r="B1767" s="64"/>
      <c r="C1767" s="65"/>
      <c r="D1767" s="66"/>
      <c r="E1767" s="67"/>
      <c r="G1767" s="69"/>
    </row>
    <row r="1768" spans="1:7" s="68" customFormat="1" ht="15.6" x14ac:dyDescent="0.3">
      <c r="A1768" s="63"/>
      <c r="B1768" s="64"/>
      <c r="C1768" s="65"/>
      <c r="D1768" s="66"/>
      <c r="E1768" s="67"/>
      <c r="G1768" s="69"/>
    </row>
    <row r="1769" spans="1:7" s="68" customFormat="1" ht="15.6" x14ac:dyDescent="0.3">
      <c r="A1769" s="63"/>
      <c r="B1769" s="64"/>
      <c r="C1769" s="65"/>
      <c r="D1769" s="66"/>
      <c r="E1769" s="67"/>
      <c r="G1769" s="69"/>
    </row>
    <row r="1770" spans="1:7" s="68" customFormat="1" ht="15.6" x14ac:dyDescent="0.3">
      <c r="A1770" s="63"/>
      <c r="B1770" s="64"/>
      <c r="C1770" s="65"/>
      <c r="D1770" s="66"/>
      <c r="E1770" s="67"/>
      <c r="G1770" s="69"/>
    </row>
    <row r="1771" spans="1:7" s="68" customFormat="1" x14ac:dyDescent="0.3">
      <c r="B1771" s="67"/>
      <c r="C1771" s="70"/>
      <c r="D1771" s="67"/>
      <c r="E1771" s="67"/>
      <c r="G1771" s="69"/>
    </row>
  </sheetData>
  <mergeCells count="3">
    <mergeCell ref="F1:M1"/>
    <mergeCell ref="F18:J19"/>
    <mergeCell ref="L18:O19"/>
  </mergeCells>
  <phoneticPr fontId="3" type="noConversion"/>
  <dataValidations count="1">
    <dataValidation type="list" allowBlank="1" showInputMessage="1" showErrorMessage="1" sqref="M20" xr:uid="{2BFAE251-C468-4318-A945-2BC44A186E33}">
      <formula1>$F$4:$F$15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1865-B092-4B91-BE6F-0B78C87EDCD8}">
  <sheetPr>
    <tabColor theme="3" tint="0.79998168889431442"/>
  </sheetPr>
  <dimension ref="A1:J872"/>
  <sheetViews>
    <sheetView tabSelected="1" workbookViewId="0">
      <selection activeCell="G11" sqref="G11"/>
    </sheetView>
  </sheetViews>
  <sheetFormatPr defaultColWidth="9.109375" defaultRowHeight="15.6" x14ac:dyDescent="0.3"/>
  <cols>
    <col min="1" max="1" width="42.5546875" style="19" bestFit="1" customWidth="1"/>
    <col min="2" max="2" width="14.5546875" style="19" customWidth="1"/>
    <col min="3" max="3" width="18.77734375" style="29" customWidth="1"/>
    <col min="4" max="4" width="16.77734375" style="21" customWidth="1"/>
    <col min="5" max="5" width="5.6640625" style="8" customWidth="1"/>
    <col min="6" max="6" width="15.109375" style="2" customWidth="1"/>
    <col min="7" max="7" width="16" style="2" customWidth="1"/>
    <col min="8" max="8" width="9.109375" style="2"/>
    <col min="9" max="9" width="17.33203125" style="2" bestFit="1" customWidth="1"/>
    <col min="10" max="10" width="17.6640625" style="2" customWidth="1"/>
    <col min="11" max="16384" width="9.109375" style="2"/>
  </cols>
  <sheetData>
    <row r="1" spans="1:10" x14ac:dyDescent="0.3">
      <c r="A1" s="17" t="s">
        <v>126</v>
      </c>
      <c r="B1" s="13" t="s">
        <v>101</v>
      </c>
      <c r="C1" s="28" t="s">
        <v>106</v>
      </c>
      <c r="D1" s="18" t="s">
        <v>105</v>
      </c>
      <c r="F1" s="87" t="s">
        <v>125</v>
      </c>
      <c r="G1" s="87"/>
      <c r="H1" s="87"/>
      <c r="I1" s="87"/>
      <c r="J1" s="87"/>
    </row>
    <row r="2" spans="1:10" x14ac:dyDescent="0.3">
      <c r="A2" s="19" t="s">
        <v>0</v>
      </c>
      <c r="B2" s="42" t="s">
        <v>102</v>
      </c>
      <c r="C2" s="37">
        <v>264992.46000000002</v>
      </c>
      <c r="D2" s="20">
        <v>0.27354800000000001</v>
      </c>
      <c r="F2" s="87"/>
      <c r="G2" s="87"/>
      <c r="H2" s="87"/>
      <c r="I2" s="87"/>
      <c r="J2" s="87"/>
    </row>
    <row r="3" spans="1:10" x14ac:dyDescent="0.3">
      <c r="A3" s="19" t="s">
        <v>1</v>
      </c>
      <c r="B3" s="42" t="s">
        <v>102</v>
      </c>
      <c r="C3" s="37">
        <v>178015.29</v>
      </c>
      <c r="D3" s="20">
        <v>0.18376300000000001</v>
      </c>
      <c r="F3" s="16" t="s">
        <v>101</v>
      </c>
      <c r="G3" s="16" t="s">
        <v>143</v>
      </c>
      <c r="I3" s="26" t="s">
        <v>116</v>
      </c>
      <c r="J3" s="27" t="s">
        <v>143</v>
      </c>
    </row>
    <row r="4" spans="1:10" x14ac:dyDescent="0.3">
      <c r="A4" s="19" t="s">
        <v>8</v>
      </c>
      <c r="B4" s="42" t="s">
        <v>102</v>
      </c>
      <c r="C4" s="37">
        <v>105525.19</v>
      </c>
      <c r="D4" s="20">
        <v>0.108932</v>
      </c>
      <c r="F4" s="2" t="s">
        <v>102</v>
      </c>
      <c r="G4" s="6">
        <f>SUMIF(Tabela18[Mês],Tabela8[[#This Row],[Mês]],Tabela18[Valor])</f>
        <v>968723.97</v>
      </c>
      <c r="I4" s="22" t="s">
        <v>117</v>
      </c>
      <c r="J4" s="23">
        <f>SUM(G4:G7)</f>
        <v>4043041.89</v>
      </c>
    </row>
    <row r="5" spans="1:10" x14ac:dyDescent="0.3">
      <c r="A5" s="19" t="s">
        <v>9</v>
      </c>
      <c r="B5" s="42" t="s">
        <v>102</v>
      </c>
      <c r="C5" s="37">
        <v>78203.14</v>
      </c>
      <c r="D5" s="20">
        <v>8.0728000000000008E-2</v>
      </c>
      <c r="F5" s="2" t="s">
        <v>103</v>
      </c>
      <c r="G5" s="6">
        <f>SUMIF(Tabela18[Mês],Tabela8[[#This Row],[Mês]],Tabela18[Valor])</f>
        <v>939367.07</v>
      </c>
      <c r="I5" s="22" t="s">
        <v>118</v>
      </c>
      <c r="J5" s="23">
        <f>SUM(G8:G11)</f>
        <v>4777239.9500000011</v>
      </c>
    </row>
    <row r="6" spans="1:10" x14ac:dyDescent="0.3">
      <c r="A6" s="19" t="s">
        <v>2</v>
      </c>
      <c r="B6" s="42" t="s">
        <v>102</v>
      </c>
      <c r="C6" s="37">
        <v>62739.65</v>
      </c>
      <c r="D6" s="20">
        <v>6.4765000000000003E-2</v>
      </c>
      <c r="F6" s="2" t="s">
        <v>104</v>
      </c>
      <c r="G6" s="6">
        <f>SUMIF(Tabela18[Mês],Tabela8[[#This Row],[Mês]],Tabela18[Valor])</f>
        <v>1172270.7600000002</v>
      </c>
      <c r="I6" s="24" t="s">
        <v>119</v>
      </c>
      <c r="J6" s="25">
        <f>SUM(G12:G15)</f>
        <v>5767396.8600000013</v>
      </c>
    </row>
    <row r="7" spans="1:10" x14ac:dyDescent="0.3">
      <c r="A7" s="19" t="s">
        <v>17</v>
      </c>
      <c r="B7" s="42" t="s">
        <v>102</v>
      </c>
      <c r="C7" s="37">
        <v>44556.61</v>
      </c>
      <c r="D7" s="20">
        <v>4.5995000000000001E-2</v>
      </c>
      <c r="F7" s="2" t="s">
        <v>107</v>
      </c>
      <c r="G7" s="6">
        <f>SUMIF(Tabela18[Mês],Tabela8[[#This Row],[Mês]],Tabela18[Valor])</f>
        <v>962680.09</v>
      </c>
    </row>
    <row r="8" spans="1:10" x14ac:dyDescent="0.3">
      <c r="A8" s="19" t="s">
        <v>12</v>
      </c>
      <c r="B8" s="42" t="s">
        <v>102</v>
      </c>
      <c r="C8" s="37">
        <v>37124.160000000003</v>
      </c>
      <c r="D8" s="20">
        <v>3.8323000000000003E-2</v>
      </c>
      <c r="F8" s="2" t="s">
        <v>108</v>
      </c>
      <c r="G8" s="6">
        <f>SUMIF(Tabela18[Mês],Tabela8[[#This Row],[Mês]],Tabela18[Valor])</f>
        <v>1209465.2500000002</v>
      </c>
    </row>
    <row r="9" spans="1:10" x14ac:dyDescent="0.3">
      <c r="A9" s="19" t="s">
        <v>4</v>
      </c>
      <c r="B9" s="42" t="s">
        <v>102</v>
      </c>
      <c r="C9" s="37">
        <v>33300.42</v>
      </c>
      <c r="D9" s="20">
        <v>3.4376000000000004E-2</v>
      </c>
      <c r="F9" s="2" t="s">
        <v>109</v>
      </c>
      <c r="G9" s="6">
        <f>SUMIF(Tabela18[Mês],Tabela8[[#This Row],[Mês]],Tabela18[Valor])</f>
        <v>1212174.2100000002</v>
      </c>
    </row>
    <row r="10" spans="1:10" x14ac:dyDescent="0.3">
      <c r="A10" s="19" t="s">
        <v>5</v>
      </c>
      <c r="B10" s="42" t="s">
        <v>102</v>
      </c>
      <c r="C10" s="37">
        <v>15386.97</v>
      </c>
      <c r="D10" s="20">
        <v>1.5883999999999999E-2</v>
      </c>
      <c r="F10" s="2" t="s">
        <v>110</v>
      </c>
      <c r="G10" s="6">
        <f>SUMIF(Tabela18[Mês],Tabela8[[#This Row],[Mês]],Tabela18[Valor])</f>
        <v>1244445.0199999998</v>
      </c>
    </row>
    <row r="11" spans="1:10" x14ac:dyDescent="0.3">
      <c r="A11" s="19" t="s">
        <v>15</v>
      </c>
      <c r="B11" s="42" t="s">
        <v>102</v>
      </c>
      <c r="C11" s="37">
        <v>13213.33</v>
      </c>
      <c r="D11" s="20">
        <v>1.3640000000000001E-2</v>
      </c>
      <c r="F11" s="2" t="s">
        <v>111</v>
      </c>
      <c r="G11" s="6">
        <f>SUMIF(Tabela18[Mês],Tabela8[[#This Row],[Mês]],Tabela18[Valor])</f>
        <v>1111155.4700000004</v>
      </c>
      <c r="I11" s="26" t="s">
        <v>120</v>
      </c>
      <c r="J11" s="27" t="s">
        <v>143</v>
      </c>
    </row>
    <row r="12" spans="1:10" x14ac:dyDescent="0.3">
      <c r="A12" s="19" t="s">
        <v>11</v>
      </c>
      <c r="B12" s="42" t="s">
        <v>102</v>
      </c>
      <c r="C12" s="37">
        <v>13120.38</v>
      </c>
      <c r="D12" s="20">
        <v>1.3544E-2</v>
      </c>
      <c r="F12" s="2" t="s">
        <v>112</v>
      </c>
      <c r="G12" s="6">
        <f>SUMIF(Tabela18[Mês],Tabela8[[#This Row],[Mês]],Tabela18[Valor])</f>
        <v>1167981.44</v>
      </c>
      <c r="I12" s="22" t="s">
        <v>121</v>
      </c>
      <c r="J12" s="23">
        <f>SUM(G4:G6)</f>
        <v>3080361.8000000003</v>
      </c>
    </row>
    <row r="13" spans="1:10" x14ac:dyDescent="0.3">
      <c r="A13" s="19" t="s">
        <v>10</v>
      </c>
      <c r="B13" s="42" t="s">
        <v>102</v>
      </c>
      <c r="C13" s="37">
        <v>11472.63</v>
      </c>
      <c r="D13" s="20">
        <v>1.1842999999999999E-2</v>
      </c>
      <c r="F13" s="2" t="s">
        <v>113</v>
      </c>
      <c r="G13" s="6">
        <f>SUMIF(Tabela18[Mês],Tabela8[[#This Row],[Mês]],Tabela18[Valor])</f>
        <v>1388037.7799999993</v>
      </c>
      <c r="I13" s="22" t="s">
        <v>122</v>
      </c>
      <c r="J13" s="23">
        <f>SUM(G7:G9)</f>
        <v>3384319.5500000007</v>
      </c>
    </row>
    <row r="14" spans="1:10" x14ac:dyDescent="0.3">
      <c r="A14" s="19" t="s">
        <v>40</v>
      </c>
      <c r="B14" s="42" t="s">
        <v>102</v>
      </c>
      <c r="C14" s="37">
        <v>10558.21</v>
      </c>
      <c r="D14" s="20">
        <v>1.0899000000000001E-2</v>
      </c>
      <c r="F14" s="2" t="s">
        <v>114</v>
      </c>
      <c r="G14" s="6">
        <f>SUMIF(Tabela18[Mês],Tabela8[[#This Row],[Mês]],Tabela18[Valor])</f>
        <v>1723812.7700000012</v>
      </c>
      <c r="I14" s="22" t="s">
        <v>123</v>
      </c>
      <c r="J14" s="23">
        <f>SUM(G10:G12)</f>
        <v>3523581.93</v>
      </c>
    </row>
    <row r="15" spans="1:10" x14ac:dyDescent="0.3">
      <c r="A15" s="19" t="s">
        <v>34</v>
      </c>
      <c r="B15" s="42" t="s">
        <v>102</v>
      </c>
      <c r="C15" s="37">
        <v>9664.02</v>
      </c>
      <c r="D15" s="20">
        <v>9.9760000000000005E-3</v>
      </c>
      <c r="F15" s="2" t="s">
        <v>115</v>
      </c>
      <c r="G15" s="6">
        <f>SUMIF(Tabela18[Mês],Tabela8[[#This Row],[Mês]],Tabela18[Valor])</f>
        <v>1487564.8700000006</v>
      </c>
      <c r="I15" s="24" t="s">
        <v>124</v>
      </c>
      <c r="J15" s="25">
        <f>SUM(G13:G15)</f>
        <v>4599415.4200000018</v>
      </c>
    </row>
    <row r="16" spans="1:10" x14ac:dyDescent="0.3">
      <c r="A16" s="19" t="s">
        <v>24</v>
      </c>
      <c r="B16" s="42" t="s">
        <v>102</v>
      </c>
      <c r="C16" s="37">
        <v>8781.89</v>
      </c>
      <c r="D16" s="20">
        <v>9.0650000000000001E-3</v>
      </c>
      <c r="I16" s="43" t="s">
        <v>157</v>
      </c>
      <c r="J16" s="44">
        <f>SUM(J12:J15)</f>
        <v>14587678.700000003</v>
      </c>
    </row>
    <row r="17" spans="1:4" x14ac:dyDescent="0.3">
      <c r="A17" s="19" t="s">
        <v>45</v>
      </c>
      <c r="B17" s="42" t="s">
        <v>102</v>
      </c>
      <c r="C17" s="37">
        <v>8305.6299999999992</v>
      </c>
      <c r="D17" s="20">
        <v>8.574E-3</v>
      </c>
    </row>
    <row r="18" spans="1:4" x14ac:dyDescent="0.3">
      <c r="A18" s="19" t="s">
        <v>16</v>
      </c>
      <c r="B18" s="42" t="s">
        <v>102</v>
      </c>
      <c r="C18" s="37">
        <v>8099</v>
      </c>
      <c r="D18" s="20">
        <v>8.3599999999999994E-3</v>
      </c>
    </row>
    <row r="19" spans="1:4" x14ac:dyDescent="0.3">
      <c r="A19" s="19" t="s">
        <v>26</v>
      </c>
      <c r="B19" s="42" t="s">
        <v>102</v>
      </c>
      <c r="C19" s="37">
        <v>6748.76</v>
      </c>
      <c r="D19" s="20">
        <v>6.9670000000000001E-3</v>
      </c>
    </row>
    <row r="20" spans="1:4" x14ac:dyDescent="0.3">
      <c r="A20" s="19" t="s">
        <v>29</v>
      </c>
      <c r="B20" s="42" t="s">
        <v>102</v>
      </c>
      <c r="C20" s="37">
        <v>6476.54</v>
      </c>
      <c r="D20" s="20">
        <v>6.6860000000000001E-3</v>
      </c>
    </row>
    <row r="21" spans="1:4" x14ac:dyDescent="0.3">
      <c r="A21" s="19" t="s">
        <v>18</v>
      </c>
      <c r="B21" s="42" t="s">
        <v>102</v>
      </c>
      <c r="C21" s="37">
        <v>5949.22</v>
      </c>
      <c r="D21" s="20">
        <v>6.1409999999999998E-3</v>
      </c>
    </row>
    <row r="22" spans="1:4" x14ac:dyDescent="0.3">
      <c r="A22" s="19" t="s">
        <v>14</v>
      </c>
      <c r="B22" s="42" t="s">
        <v>102</v>
      </c>
      <c r="C22" s="37">
        <v>5546.26</v>
      </c>
      <c r="D22" s="20">
        <v>5.7250000000000001E-3</v>
      </c>
    </row>
    <row r="23" spans="1:4" x14ac:dyDescent="0.3">
      <c r="A23" s="19" t="s">
        <v>130</v>
      </c>
      <c r="B23" s="42" t="s">
        <v>102</v>
      </c>
      <c r="C23" s="37">
        <v>5522.2</v>
      </c>
      <c r="D23" s="20">
        <v>5.6999999999999993E-3</v>
      </c>
    </row>
    <row r="24" spans="1:4" x14ac:dyDescent="0.3">
      <c r="A24" s="19" t="s">
        <v>30</v>
      </c>
      <c r="B24" s="42" t="s">
        <v>102</v>
      </c>
      <c r="C24" s="37">
        <v>4202.3100000000004</v>
      </c>
      <c r="D24" s="20">
        <v>4.3379999999999998E-3</v>
      </c>
    </row>
    <row r="25" spans="1:4" x14ac:dyDescent="0.3">
      <c r="A25" s="19" t="s">
        <v>39</v>
      </c>
      <c r="B25" s="42" t="s">
        <v>102</v>
      </c>
      <c r="C25" s="37">
        <v>3403.51</v>
      </c>
      <c r="D25" s="20">
        <v>3.5130000000000001E-3</v>
      </c>
    </row>
    <row r="26" spans="1:4" x14ac:dyDescent="0.3">
      <c r="A26" s="19" t="s">
        <v>21</v>
      </c>
      <c r="B26" s="42" t="s">
        <v>102</v>
      </c>
      <c r="C26" s="37">
        <v>3350</v>
      </c>
      <c r="D26" s="20">
        <v>3.4580000000000001E-3</v>
      </c>
    </row>
    <row r="27" spans="1:4" x14ac:dyDescent="0.3">
      <c r="A27" s="19" t="s">
        <v>23</v>
      </c>
      <c r="B27" s="42" t="s">
        <v>102</v>
      </c>
      <c r="C27" s="37">
        <v>2161.75</v>
      </c>
      <c r="D27" s="20">
        <v>2.232E-3</v>
      </c>
    </row>
    <row r="28" spans="1:4" x14ac:dyDescent="0.3">
      <c r="A28" s="19" t="s">
        <v>48</v>
      </c>
      <c r="B28" s="42" t="s">
        <v>102</v>
      </c>
      <c r="C28" s="37">
        <v>2107.62</v>
      </c>
      <c r="D28" s="20">
        <v>2.176E-3</v>
      </c>
    </row>
    <row r="29" spans="1:4" x14ac:dyDescent="0.3">
      <c r="A29" s="19" t="s">
        <v>32</v>
      </c>
      <c r="B29" s="42" t="s">
        <v>102</v>
      </c>
      <c r="C29" s="37">
        <v>2065.63</v>
      </c>
      <c r="D29" s="20">
        <v>2.1320000000000002E-3</v>
      </c>
    </row>
    <row r="30" spans="1:4" x14ac:dyDescent="0.3">
      <c r="A30" s="19" t="s">
        <v>52</v>
      </c>
      <c r="B30" s="42" t="s">
        <v>102</v>
      </c>
      <c r="C30" s="37">
        <v>1857.54</v>
      </c>
      <c r="D30" s="20">
        <v>1.918E-3</v>
      </c>
    </row>
    <row r="31" spans="1:4" x14ac:dyDescent="0.3">
      <c r="A31" s="19" t="s">
        <v>42</v>
      </c>
      <c r="B31" s="42" t="s">
        <v>102</v>
      </c>
      <c r="C31" s="37">
        <v>1784.24</v>
      </c>
      <c r="D31" s="20">
        <v>1.8420000000000001E-3</v>
      </c>
    </row>
    <row r="32" spans="1:4" x14ac:dyDescent="0.3">
      <c r="A32" s="19" t="s">
        <v>38</v>
      </c>
      <c r="B32" s="42" t="s">
        <v>102</v>
      </c>
      <c r="C32" s="37">
        <v>1325.72</v>
      </c>
      <c r="D32" s="20">
        <v>1.369E-3</v>
      </c>
    </row>
    <row r="33" spans="1:4" x14ac:dyDescent="0.3">
      <c r="A33" s="19" t="s">
        <v>41</v>
      </c>
      <c r="B33" s="42" t="s">
        <v>102</v>
      </c>
      <c r="C33" s="37">
        <v>1254.0999999999999</v>
      </c>
      <c r="D33" s="20">
        <v>1.2950000000000001E-3</v>
      </c>
    </row>
    <row r="34" spans="1:4" x14ac:dyDescent="0.3">
      <c r="A34" s="19" t="s">
        <v>62</v>
      </c>
      <c r="B34" s="42" t="s">
        <v>102</v>
      </c>
      <c r="C34" s="37">
        <v>1205.78</v>
      </c>
      <c r="D34" s="20">
        <v>1.245E-3</v>
      </c>
    </row>
    <row r="35" spans="1:4" x14ac:dyDescent="0.3">
      <c r="A35" s="19" t="s">
        <v>49</v>
      </c>
      <c r="B35" s="42" t="s">
        <v>102</v>
      </c>
      <c r="C35" s="37">
        <v>1174.55</v>
      </c>
      <c r="D35" s="20">
        <v>1.212E-3</v>
      </c>
    </row>
    <row r="36" spans="1:4" x14ac:dyDescent="0.3">
      <c r="A36" s="19" t="s">
        <v>67</v>
      </c>
      <c r="B36" s="42" t="s">
        <v>102</v>
      </c>
      <c r="C36" s="37">
        <v>1039.71</v>
      </c>
      <c r="D36" s="20">
        <v>1.0730000000000002E-3</v>
      </c>
    </row>
    <row r="37" spans="1:4" x14ac:dyDescent="0.3">
      <c r="A37" s="19" t="s">
        <v>96</v>
      </c>
      <c r="B37" s="42" t="s">
        <v>102</v>
      </c>
      <c r="C37" s="37">
        <v>814.98</v>
      </c>
      <c r="D37" s="20">
        <v>8.4099999999999995E-4</v>
      </c>
    </row>
    <row r="38" spans="1:4" x14ac:dyDescent="0.3">
      <c r="A38" s="19" t="s">
        <v>33</v>
      </c>
      <c r="B38" s="42" t="s">
        <v>102</v>
      </c>
      <c r="C38" s="37">
        <v>778.6</v>
      </c>
      <c r="D38" s="20">
        <v>8.0400000000000003E-4</v>
      </c>
    </row>
    <row r="39" spans="1:4" x14ac:dyDescent="0.3">
      <c r="A39" s="19" t="s">
        <v>28</v>
      </c>
      <c r="B39" s="42" t="s">
        <v>102</v>
      </c>
      <c r="C39" s="37">
        <v>774.42</v>
      </c>
      <c r="D39" s="20">
        <v>7.9900000000000001E-4</v>
      </c>
    </row>
    <row r="40" spans="1:4" x14ac:dyDescent="0.3">
      <c r="A40" s="19" t="s">
        <v>58</v>
      </c>
      <c r="B40" s="42" t="s">
        <v>102</v>
      </c>
      <c r="C40" s="37">
        <v>687.26</v>
      </c>
      <c r="D40" s="20">
        <v>7.0899999999999999E-4</v>
      </c>
    </row>
    <row r="41" spans="1:4" x14ac:dyDescent="0.3">
      <c r="A41" s="19" t="s">
        <v>54</v>
      </c>
      <c r="B41" s="42" t="s">
        <v>102</v>
      </c>
      <c r="C41" s="37">
        <v>585.46</v>
      </c>
      <c r="D41" s="20">
        <v>6.0400000000000004E-4</v>
      </c>
    </row>
    <row r="42" spans="1:4" x14ac:dyDescent="0.3">
      <c r="A42" s="19" t="s">
        <v>60</v>
      </c>
      <c r="B42" s="42" t="s">
        <v>102</v>
      </c>
      <c r="C42" s="37">
        <v>536.79999999999995</v>
      </c>
      <c r="D42" s="20">
        <v>5.5400000000000002E-4</v>
      </c>
    </row>
    <row r="43" spans="1:4" x14ac:dyDescent="0.3">
      <c r="A43" s="19" t="s">
        <v>72</v>
      </c>
      <c r="B43" s="42" t="s">
        <v>102</v>
      </c>
      <c r="C43" s="37">
        <v>524.39</v>
      </c>
      <c r="D43" s="20">
        <v>5.4100000000000003E-4</v>
      </c>
    </row>
    <row r="44" spans="1:4" x14ac:dyDescent="0.3">
      <c r="A44" s="19" t="s">
        <v>57</v>
      </c>
      <c r="B44" s="42" t="s">
        <v>102</v>
      </c>
      <c r="C44" s="37">
        <v>351</v>
      </c>
      <c r="D44" s="20">
        <v>3.6200000000000002E-4</v>
      </c>
    </row>
    <row r="45" spans="1:4" x14ac:dyDescent="0.3">
      <c r="A45" s="19" t="s">
        <v>55</v>
      </c>
      <c r="B45" s="42" t="s">
        <v>102</v>
      </c>
      <c r="C45" s="37">
        <v>322.2</v>
      </c>
      <c r="D45" s="20">
        <v>3.3300000000000002E-4</v>
      </c>
    </row>
    <row r="46" spans="1:4" x14ac:dyDescent="0.3">
      <c r="A46" s="19" t="s">
        <v>63</v>
      </c>
      <c r="B46" s="42" t="s">
        <v>102</v>
      </c>
      <c r="C46" s="37">
        <v>299.7</v>
      </c>
      <c r="D46" s="20">
        <v>3.0900000000000003E-4</v>
      </c>
    </row>
    <row r="47" spans="1:4" x14ac:dyDescent="0.3">
      <c r="A47" s="19" t="s">
        <v>50</v>
      </c>
      <c r="B47" s="42" t="s">
        <v>102</v>
      </c>
      <c r="C47" s="37">
        <v>267.33</v>
      </c>
      <c r="D47" s="20">
        <v>2.7599999999999999E-4</v>
      </c>
    </row>
    <row r="48" spans="1:4" x14ac:dyDescent="0.3">
      <c r="A48" s="19" t="s">
        <v>22</v>
      </c>
      <c r="B48" s="42" t="s">
        <v>102</v>
      </c>
      <c r="C48" s="37">
        <v>249.6</v>
      </c>
      <c r="D48" s="20">
        <v>2.5799999999999998E-4</v>
      </c>
    </row>
    <row r="49" spans="1:4" x14ac:dyDescent="0.3">
      <c r="A49" s="19" t="s">
        <v>59</v>
      </c>
      <c r="B49" s="42" t="s">
        <v>102</v>
      </c>
      <c r="C49" s="37">
        <v>236.58</v>
      </c>
      <c r="D49" s="20">
        <v>2.4400000000000002E-4</v>
      </c>
    </row>
    <row r="50" spans="1:4" x14ac:dyDescent="0.3">
      <c r="A50" s="19" t="s">
        <v>76</v>
      </c>
      <c r="B50" s="42" t="s">
        <v>102</v>
      </c>
      <c r="C50" s="37">
        <v>217.19</v>
      </c>
      <c r="D50" s="20">
        <v>2.24E-4</v>
      </c>
    </row>
    <row r="51" spans="1:4" x14ac:dyDescent="0.3">
      <c r="A51" s="19" t="s">
        <v>74</v>
      </c>
      <c r="B51" s="42" t="s">
        <v>102</v>
      </c>
      <c r="C51" s="37">
        <v>204.5</v>
      </c>
      <c r="D51" s="20">
        <v>2.1100000000000001E-4</v>
      </c>
    </row>
    <row r="52" spans="1:4" x14ac:dyDescent="0.3">
      <c r="A52" s="19" t="s">
        <v>66</v>
      </c>
      <c r="B52" s="42" t="s">
        <v>102</v>
      </c>
      <c r="C52" s="37">
        <v>202.43</v>
      </c>
      <c r="D52" s="20">
        <v>2.0899999999999998E-4</v>
      </c>
    </row>
    <row r="53" spans="1:4" x14ac:dyDescent="0.3">
      <c r="A53" s="19" t="s">
        <v>80</v>
      </c>
      <c r="B53" s="42" t="s">
        <v>102</v>
      </c>
      <c r="C53" s="37">
        <v>193.78</v>
      </c>
      <c r="D53" s="20">
        <v>2.0000000000000001E-4</v>
      </c>
    </row>
    <row r="54" spans="1:4" x14ac:dyDescent="0.3">
      <c r="A54" s="19" t="s">
        <v>131</v>
      </c>
      <c r="B54" s="42" t="s">
        <v>102</v>
      </c>
      <c r="C54" s="37">
        <v>186.62</v>
      </c>
      <c r="D54" s="20">
        <v>1.93E-4</v>
      </c>
    </row>
    <row r="55" spans="1:4" x14ac:dyDescent="0.3">
      <c r="A55" s="19" t="s">
        <v>87</v>
      </c>
      <c r="B55" s="42" t="s">
        <v>102</v>
      </c>
      <c r="C55" s="37">
        <v>185.41</v>
      </c>
      <c r="D55" s="20">
        <v>1.9099999999999998E-4</v>
      </c>
    </row>
    <row r="56" spans="1:4" x14ac:dyDescent="0.3">
      <c r="A56" s="19" t="s">
        <v>71</v>
      </c>
      <c r="B56" s="42" t="s">
        <v>102</v>
      </c>
      <c r="C56" s="37">
        <v>181.38</v>
      </c>
      <c r="D56" s="20">
        <v>1.8700000000000002E-4</v>
      </c>
    </row>
    <row r="57" spans="1:4" x14ac:dyDescent="0.3">
      <c r="A57" s="19" t="s">
        <v>81</v>
      </c>
      <c r="B57" s="42" t="s">
        <v>102</v>
      </c>
      <c r="C57" s="37">
        <v>127.09</v>
      </c>
      <c r="D57" s="20">
        <v>1.3100000000000001E-4</v>
      </c>
    </row>
    <row r="58" spans="1:4" x14ac:dyDescent="0.3">
      <c r="A58" s="19" t="s">
        <v>82</v>
      </c>
      <c r="B58" s="42" t="s">
        <v>102</v>
      </c>
      <c r="C58" s="37">
        <v>112.38</v>
      </c>
      <c r="D58" s="20">
        <v>1.1599999999999999E-4</v>
      </c>
    </row>
    <row r="59" spans="1:4" x14ac:dyDescent="0.3">
      <c r="A59" s="19" t="s">
        <v>75</v>
      </c>
      <c r="B59" s="42" t="s">
        <v>102</v>
      </c>
      <c r="C59" s="37">
        <v>95.1</v>
      </c>
      <c r="D59" s="20">
        <v>9.7999999999999997E-5</v>
      </c>
    </row>
    <row r="60" spans="1:4" x14ac:dyDescent="0.3">
      <c r="A60" s="19" t="s">
        <v>132</v>
      </c>
      <c r="B60" s="42" t="s">
        <v>102</v>
      </c>
      <c r="C60" s="37">
        <v>69.97</v>
      </c>
      <c r="D60" s="20">
        <v>7.2000000000000002E-5</v>
      </c>
    </row>
    <row r="61" spans="1:4" x14ac:dyDescent="0.3">
      <c r="A61" s="19" t="s">
        <v>88</v>
      </c>
      <c r="B61" s="42" t="s">
        <v>102</v>
      </c>
      <c r="C61" s="37">
        <v>69.900000000000006</v>
      </c>
      <c r="D61" s="20">
        <v>7.2000000000000002E-5</v>
      </c>
    </row>
    <row r="62" spans="1:4" x14ac:dyDescent="0.3">
      <c r="A62" s="19" t="s">
        <v>47</v>
      </c>
      <c r="B62" s="42" t="s">
        <v>102</v>
      </c>
      <c r="C62" s="37">
        <v>67.06</v>
      </c>
      <c r="D62" s="20">
        <v>6.8999999999999997E-5</v>
      </c>
    </row>
    <row r="63" spans="1:4" x14ac:dyDescent="0.3">
      <c r="A63" s="19" t="s">
        <v>46</v>
      </c>
      <c r="B63" s="42" t="s">
        <v>102</v>
      </c>
      <c r="C63" s="37">
        <v>41.93</v>
      </c>
      <c r="D63" s="20">
        <v>4.3000000000000002E-5</v>
      </c>
    </row>
    <row r="64" spans="1:4" x14ac:dyDescent="0.3">
      <c r="A64" s="19" t="s">
        <v>133</v>
      </c>
      <c r="B64" s="42" t="s">
        <v>102</v>
      </c>
      <c r="C64" s="37">
        <v>40.75</v>
      </c>
      <c r="D64" s="20">
        <v>4.1999999999999998E-5</v>
      </c>
    </row>
    <row r="65" spans="1:4" x14ac:dyDescent="0.3">
      <c r="A65" s="19" t="s">
        <v>134</v>
      </c>
      <c r="B65" s="42" t="s">
        <v>102</v>
      </c>
      <c r="C65" s="37">
        <v>35.9</v>
      </c>
      <c r="D65" s="20">
        <v>3.7000000000000005E-5</v>
      </c>
    </row>
    <row r="66" spans="1:4" x14ac:dyDescent="0.3">
      <c r="A66" s="19" t="s">
        <v>89</v>
      </c>
      <c r="B66" s="42" t="s">
        <v>102</v>
      </c>
      <c r="C66" s="37">
        <v>13.98</v>
      </c>
      <c r="D66" s="20">
        <v>1.4E-5</v>
      </c>
    </row>
    <row r="67" spans="1:4" x14ac:dyDescent="0.3">
      <c r="A67" s="19" t="s">
        <v>85</v>
      </c>
      <c r="B67" s="42" t="s">
        <v>102</v>
      </c>
      <c r="C67" s="37">
        <v>13.14</v>
      </c>
      <c r="D67" s="20">
        <v>1.4E-5</v>
      </c>
    </row>
    <row r="68" spans="1:4" x14ac:dyDescent="0.3">
      <c r="A68" s="19" t="s">
        <v>83</v>
      </c>
      <c r="B68" s="42" t="s">
        <v>102</v>
      </c>
      <c r="C68" s="37">
        <v>2.72</v>
      </c>
      <c r="D68" s="20">
        <v>2.9999999999999997E-6</v>
      </c>
    </row>
    <row r="69" spans="1:4" x14ac:dyDescent="0.3">
      <c r="A69" s="19" t="s">
        <v>0</v>
      </c>
      <c r="B69" s="42" t="s">
        <v>103</v>
      </c>
      <c r="C69" s="38">
        <v>147886.47</v>
      </c>
      <c r="D69" s="21">
        <v>0.15743199999999999</v>
      </c>
    </row>
    <row r="70" spans="1:4" x14ac:dyDescent="0.3">
      <c r="A70" s="19" t="s">
        <v>1</v>
      </c>
      <c r="B70" s="42" t="s">
        <v>103</v>
      </c>
      <c r="C70" s="38">
        <v>127575.7</v>
      </c>
      <c r="D70" s="21">
        <v>0.13580999999999999</v>
      </c>
    </row>
    <row r="71" spans="1:4" x14ac:dyDescent="0.3">
      <c r="A71" s="19" t="s">
        <v>2</v>
      </c>
      <c r="B71" s="42" t="s">
        <v>103</v>
      </c>
      <c r="C71" s="38">
        <v>104258.69</v>
      </c>
      <c r="D71" s="21">
        <v>0.110988</v>
      </c>
    </row>
    <row r="72" spans="1:4" x14ac:dyDescent="0.3">
      <c r="A72" s="19" t="s">
        <v>9</v>
      </c>
      <c r="B72" s="42" t="s">
        <v>103</v>
      </c>
      <c r="C72" s="38">
        <v>102437.51</v>
      </c>
      <c r="D72" s="21">
        <v>0.10904999999999999</v>
      </c>
    </row>
    <row r="73" spans="1:4" x14ac:dyDescent="0.3">
      <c r="A73" s="19" t="s">
        <v>8</v>
      </c>
      <c r="B73" s="42" t="s">
        <v>103</v>
      </c>
      <c r="C73" s="38">
        <v>93447.32</v>
      </c>
      <c r="D73" s="21">
        <v>9.9479000000000012E-2</v>
      </c>
    </row>
    <row r="74" spans="1:4" x14ac:dyDescent="0.3">
      <c r="A74" s="19" t="s">
        <v>17</v>
      </c>
      <c r="B74" s="42" t="s">
        <v>103</v>
      </c>
      <c r="C74" s="38">
        <v>43706.65</v>
      </c>
      <c r="D74" s="21">
        <v>4.6528E-2</v>
      </c>
    </row>
    <row r="75" spans="1:4" x14ac:dyDescent="0.3">
      <c r="A75" s="19" t="s">
        <v>12</v>
      </c>
      <c r="B75" s="42" t="s">
        <v>103</v>
      </c>
      <c r="C75" s="38">
        <v>42196.68</v>
      </c>
      <c r="D75" s="21">
        <v>4.4920000000000002E-2</v>
      </c>
    </row>
    <row r="76" spans="1:4" x14ac:dyDescent="0.3">
      <c r="A76" s="19" t="s">
        <v>4</v>
      </c>
      <c r="B76" s="42" t="s">
        <v>103</v>
      </c>
      <c r="C76" s="38">
        <v>40876.839999999997</v>
      </c>
      <c r="D76" s="21">
        <v>4.3514999999999998E-2</v>
      </c>
    </row>
    <row r="77" spans="1:4" x14ac:dyDescent="0.3">
      <c r="A77" s="19" t="s">
        <v>28</v>
      </c>
      <c r="B77" s="42" t="s">
        <v>103</v>
      </c>
      <c r="C77" s="38">
        <v>27168.13</v>
      </c>
      <c r="D77" s="21">
        <v>2.8922E-2</v>
      </c>
    </row>
    <row r="78" spans="1:4" x14ac:dyDescent="0.3">
      <c r="A78" s="19" t="s">
        <v>16</v>
      </c>
      <c r="B78" s="42" t="s">
        <v>103</v>
      </c>
      <c r="C78" s="38">
        <v>24477.17</v>
      </c>
      <c r="D78" s="21">
        <v>2.6057E-2</v>
      </c>
    </row>
    <row r="79" spans="1:4" x14ac:dyDescent="0.3">
      <c r="A79" s="19" t="s">
        <v>40</v>
      </c>
      <c r="B79" s="42" t="s">
        <v>103</v>
      </c>
      <c r="C79" s="38">
        <v>23230.86</v>
      </c>
      <c r="D79" s="21">
        <v>2.4729999999999999E-2</v>
      </c>
    </row>
    <row r="80" spans="1:4" x14ac:dyDescent="0.3">
      <c r="A80" s="19" t="s">
        <v>14</v>
      </c>
      <c r="B80" s="42" t="s">
        <v>103</v>
      </c>
      <c r="C80" s="38">
        <v>21751.29</v>
      </c>
      <c r="D80" s="21">
        <v>2.3155000000000002E-2</v>
      </c>
    </row>
    <row r="81" spans="1:4" x14ac:dyDescent="0.3">
      <c r="A81" s="19" t="s">
        <v>11</v>
      </c>
      <c r="B81" s="42" t="s">
        <v>103</v>
      </c>
      <c r="C81" s="38">
        <v>16821.849999999999</v>
      </c>
      <c r="D81" s="21">
        <v>1.7908E-2</v>
      </c>
    </row>
    <row r="82" spans="1:4" x14ac:dyDescent="0.3">
      <c r="A82" s="19" t="s">
        <v>5</v>
      </c>
      <c r="B82" s="42" t="s">
        <v>103</v>
      </c>
      <c r="C82" s="38">
        <v>16705.02</v>
      </c>
      <c r="D82" s="21">
        <v>1.7783E-2</v>
      </c>
    </row>
    <row r="83" spans="1:4" x14ac:dyDescent="0.3">
      <c r="A83" s="19" t="s">
        <v>10</v>
      </c>
      <c r="B83" s="42" t="s">
        <v>103</v>
      </c>
      <c r="C83" s="38">
        <v>15658.04</v>
      </c>
      <c r="D83" s="21">
        <v>1.6669E-2</v>
      </c>
    </row>
    <row r="84" spans="1:4" x14ac:dyDescent="0.3">
      <c r="A84" s="19" t="s">
        <v>34</v>
      </c>
      <c r="B84" s="42" t="s">
        <v>103</v>
      </c>
      <c r="C84" s="38">
        <v>11631.33</v>
      </c>
      <c r="D84" s="21">
        <v>1.2381999999999999E-2</v>
      </c>
    </row>
    <row r="85" spans="1:4" x14ac:dyDescent="0.3">
      <c r="A85" s="19" t="s">
        <v>15</v>
      </c>
      <c r="B85" s="42" t="s">
        <v>103</v>
      </c>
      <c r="C85" s="38">
        <v>11055.42</v>
      </c>
      <c r="D85" s="21">
        <v>1.1769E-2</v>
      </c>
    </row>
    <row r="86" spans="1:4" x14ac:dyDescent="0.3">
      <c r="A86" s="19" t="s">
        <v>45</v>
      </c>
      <c r="B86" s="42" t="s">
        <v>103</v>
      </c>
      <c r="C86" s="38">
        <v>8684.0400000000009</v>
      </c>
      <c r="D86" s="21">
        <v>9.2449999999999997E-3</v>
      </c>
    </row>
    <row r="87" spans="1:4" x14ac:dyDescent="0.3">
      <c r="A87" s="19" t="s">
        <v>130</v>
      </c>
      <c r="B87" s="42" t="s">
        <v>103</v>
      </c>
      <c r="C87" s="38">
        <v>7898.4</v>
      </c>
      <c r="D87" s="21">
        <v>8.4080000000000005E-3</v>
      </c>
    </row>
    <row r="88" spans="1:4" x14ac:dyDescent="0.3">
      <c r="A88" s="19" t="s">
        <v>29</v>
      </c>
      <c r="B88" s="42" t="s">
        <v>103</v>
      </c>
      <c r="C88" s="38">
        <v>7455.24</v>
      </c>
      <c r="D88" s="21">
        <v>7.9360000000000003E-3</v>
      </c>
    </row>
    <row r="89" spans="1:4" x14ac:dyDescent="0.3">
      <c r="A89" s="19" t="s">
        <v>24</v>
      </c>
      <c r="B89" s="42" t="s">
        <v>103</v>
      </c>
      <c r="C89" s="38">
        <v>5142.74</v>
      </c>
      <c r="D89" s="21">
        <v>5.4749999999999998E-3</v>
      </c>
    </row>
    <row r="90" spans="1:4" x14ac:dyDescent="0.3">
      <c r="A90" s="19" t="s">
        <v>49</v>
      </c>
      <c r="B90" s="42" t="s">
        <v>103</v>
      </c>
      <c r="C90" s="38">
        <v>4274.92</v>
      </c>
      <c r="D90" s="21">
        <v>4.5510000000000004E-3</v>
      </c>
    </row>
    <row r="91" spans="1:4" x14ac:dyDescent="0.3">
      <c r="A91" s="19" t="s">
        <v>39</v>
      </c>
      <c r="B91" s="42" t="s">
        <v>103</v>
      </c>
      <c r="C91" s="38">
        <v>3559.28</v>
      </c>
      <c r="D91" s="21">
        <v>3.7890000000000003E-3</v>
      </c>
    </row>
    <row r="92" spans="1:4" x14ac:dyDescent="0.3">
      <c r="A92" s="19" t="s">
        <v>32</v>
      </c>
      <c r="B92" s="42" t="s">
        <v>103</v>
      </c>
      <c r="C92" s="38">
        <v>3336.34</v>
      </c>
      <c r="D92" s="21">
        <v>3.552E-3</v>
      </c>
    </row>
    <row r="93" spans="1:4" x14ac:dyDescent="0.3">
      <c r="A93" s="19" t="s">
        <v>30</v>
      </c>
      <c r="B93" s="42" t="s">
        <v>103</v>
      </c>
      <c r="C93" s="38">
        <v>3147.03</v>
      </c>
      <c r="D93" s="21">
        <v>3.3500000000000001E-3</v>
      </c>
    </row>
    <row r="94" spans="1:4" x14ac:dyDescent="0.3">
      <c r="A94" s="19" t="s">
        <v>48</v>
      </c>
      <c r="B94" s="42" t="s">
        <v>103</v>
      </c>
      <c r="C94" s="38">
        <v>3060.83</v>
      </c>
      <c r="D94" s="21">
        <v>3.2579999999999996E-3</v>
      </c>
    </row>
    <row r="95" spans="1:4" x14ac:dyDescent="0.3">
      <c r="A95" s="19" t="s">
        <v>21</v>
      </c>
      <c r="B95" s="42" t="s">
        <v>103</v>
      </c>
      <c r="C95" s="38">
        <v>2909.11</v>
      </c>
      <c r="D95" s="21">
        <v>3.0969999999999999E-3</v>
      </c>
    </row>
    <row r="96" spans="1:4" x14ac:dyDescent="0.3">
      <c r="A96" s="19" t="s">
        <v>71</v>
      </c>
      <c r="B96" s="42" t="s">
        <v>103</v>
      </c>
      <c r="C96" s="38">
        <v>1964.26</v>
      </c>
      <c r="D96" s="21">
        <v>2.091E-3</v>
      </c>
    </row>
    <row r="97" spans="1:4" x14ac:dyDescent="0.3">
      <c r="A97" s="19" t="s">
        <v>38</v>
      </c>
      <c r="B97" s="42" t="s">
        <v>103</v>
      </c>
      <c r="C97" s="38">
        <v>1940.07</v>
      </c>
      <c r="D97" s="21">
        <v>2.065E-3</v>
      </c>
    </row>
    <row r="98" spans="1:4" x14ac:dyDescent="0.3">
      <c r="A98" s="19" t="s">
        <v>18</v>
      </c>
      <c r="B98" s="42" t="s">
        <v>103</v>
      </c>
      <c r="C98" s="38">
        <v>1836.92</v>
      </c>
      <c r="D98" s="21">
        <v>1.9550000000000001E-3</v>
      </c>
    </row>
    <row r="99" spans="1:4" x14ac:dyDescent="0.3">
      <c r="A99" s="19" t="s">
        <v>23</v>
      </c>
      <c r="B99" s="42" t="s">
        <v>103</v>
      </c>
      <c r="C99" s="38">
        <v>1519.58</v>
      </c>
      <c r="D99" s="21">
        <v>1.6180000000000001E-3</v>
      </c>
    </row>
    <row r="100" spans="1:4" x14ac:dyDescent="0.3">
      <c r="A100" s="19" t="s">
        <v>33</v>
      </c>
      <c r="B100" s="42" t="s">
        <v>103</v>
      </c>
      <c r="C100" s="38">
        <v>1067.8399999999999</v>
      </c>
      <c r="D100" s="21">
        <v>1.137E-3</v>
      </c>
    </row>
    <row r="101" spans="1:4" x14ac:dyDescent="0.3">
      <c r="A101" s="19" t="s">
        <v>67</v>
      </c>
      <c r="B101" s="42" t="s">
        <v>103</v>
      </c>
      <c r="C101" s="38">
        <v>858.21</v>
      </c>
      <c r="D101" s="21">
        <v>9.1399999999999999E-4</v>
      </c>
    </row>
    <row r="102" spans="1:4" x14ac:dyDescent="0.3">
      <c r="A102" s="19" t="s">
        <v>96</v>
      </c>
      <c r="B102" s="42" t="s">
        <v>103</v>
      </c>
      <c r="C102" s="38">
        <v>837.36</v>
      </c>
      <c r="D102" s="21">
        <v>8.9099999999999997E-4</v>
      </c>
    </row>
    <row r="103" spans="1:4" x14ac:dyDescent="0.3">
      <c r="A103" s="19" t="s">
        <v>54</v>
      </c>
      <c r="B103" s="42" t="s">
        <v>103</v>
      </c>
      <c r="C103" s="38">
        <v>810.52</v>
      </c>
      <c r="D103" s="21">
        <v>8.6300000000000005E-4</v>
      </c>
    </row>
    <row r="104" spans="1:4" x14ac:dyDescent="0.3">
      <c r="A104" s="19" t="s">
        <v>62</v>
      </c>
      <c r="B104" s="42" t="s">
        <v>103</v>
      </c>
      <c r="C104" s="38">
        <v>785.49</v>
      </c>
      <c r="D104" s="21">
        <v>8.3599999999999994E-4</v>
      </c>
    </row>
    <row r="105" spans="1:4" x14ac:dyDescent="0.3">
      <c r="A105" s="19" t="s">
        <v>60</v>
      </c>
      <c r="B105" s="42" t="s">
        <v>103</v>
      </c>
      <c r="C105" s="38">
        <v>766.74</v>
      </c>
      <c r="D105" s="21">
        <v>8.160000000000001E-4</v>
      </c>
    </row>
    <row r="106" spans="1:4" x14ac:dyDescent="0.3">
      <c r="A106" s="19" t="s">
        <v>22</v>
      </c>
      <c r="B106" s="42" t="s">
        <v>103</v>
      </c>
      <c r="C106" s="38">
        <v>761.7</v>
      </c>
      <c r="D106" s="21">
        <v>8.1100000000000009E-4</v>
      </c>
    </row>
    <row r="107" spans="1:4" x14ac:dyDescent="0.3">
      <c r="A107" s="19" t="s">
        <v>42</v>
      </c>
      <c r="B107" s="42" t="s">
        <v>103</v>
      </c>
      <c r="C107" s="38">
        <v>706.66</v>
      </c>
      <c r="D107" s="21">
        <v>7.5200000000000006E-4</v>
      </c>
    </row>
    <row r="108" spans="1:4" x14ac:dyDescent="0.3">
      <c r="A108" s="19" t="s">
        <v>58</v>
      </c>
      <c r="B108" s="42" t="s">
        <v>103</v>
      </c>
      <c r="C108" s="38">
        <v>551.66999999999996</v>
      </c>
      <c r="D108" s="21">
        <v>5.8700000000000007E-4</v>
      </c>
    </row>
    <row r="109" spans="1:4" x14ac:dyDescent="0.3">
      <c r="A109" s="19" t="s">
        <v>59</v>
      </c>
      <c r="B109" s="42" t="s">
        <v>103</v>
      </c>
      <c r="C109" s="38">
        <v>486.9</v>
      </c>
      <c r="D109" s="21">
        <v>5.1800000000000001E-4</v>
      </c>
    </row>
    <row r="110" spans="1:4" x14ac:dyDescent="0.3">
      <c r="A110" s="19" t="s">
        <v>52</v>
      </c>
      <c r="B110" s="42" t="s">
        <v>103</v>
      </c>
      <c r="C110" s="38">
        <v>407.86</v>
      </c>
      <c r="D110" s="21">
        <v>4.3400000000000003E-4</v>
      </c>
    </row>
    <row r="111" spans="1:4" x14ac:dyDescent="0.3">
      <c r="A111" s="19" t="s">
        <v>50</v>
      </c>
      <c r="B111" s="42" t="s">
        <v>103</v>
      </c>
      <c r="C111" s="38">
        <v>365.12</v>
      </c>
      <c r="D111" s="21">
        <v>3.8899999999999997E-4</v>
      </c>
    </row>
    <row r="112" spans="1:4" x14ac:dyDescent="0.3">
      <c r="A112" s="19" t="s">
        <v>55</v>
      </c>
      <c r="B112" s="42" t="s">
        <v>103</v>
      </c>
      <c r="C112" s="38">
        <v>348.99</v>
      </c>
      <c r="D112" s="21">
        <v>3.7199999999999999E-4</v>
      </c>
    </row>
    <row r="113" spans="1:4" x14ac:dyDescent="0.3">
      <c r="A113" s="19" t="s">
        <v>76</v>
      </c>
      <c r="B113" s="42" t="s">
        <v>103</v>
      </c>
      <c r="C113" s="38">
        <v>345.12</v>
      </c>
      <c r="D113" s="21">
        <v>3.6700000000000003E-4</v>
      </c>
    </row>
    <row r="114" spans="1:4" x14ac:dyDescent="0.3">
      <c r="A114" s="19" t="s">
        <v>41</v>
      </c>
      <c r="B114" s="42" t="s">
        <v>103</v>
      </c>
      <c r="C114" s="38">
        <v>318.55</v>
      </c>
      <c r="D114" s="21">
        <v>3.39E-4</v>
      </c>
    </row>
    <row r="115" spans="1:4" x14ac:dyDescent="0.3">
      <c r="A115" s="19" t="s">
        <v>47</v>
      </c>
      <c r="B115" s="42" t="s">
        <v>103</v>
      </c>
      <c r="C115" s="38">
        <v>315.27999999999997</v>
      </c>
      <c r="D115" s="21">
        <v>3.3599999999999998E-4</v>
      </c>
    </row>
    <row r="116" spans="1:4" x14ac:dyDescent="0.3">
      <c r="A116" s="19" t="s">
        <v>74</v>
      </c>
      <c r="B116" s="42" t="s">
        <v>103</v>
      </c>
      <c r="C116" s="38">
        <v>304.47000000000003</v>
      </c>
      <c r="D116" s="21">
        <v>3.2399999999999996E-4</v>
      </c>
    </row>
    <row r="117" spans="1:4" x14ac:dyDescent="0.3">
      <c r="A117" s="19" t="s">
        <v>72</v>
      </c>
      <c r="B117" s="42" t="s">
        <v>103</v>
      </c>
      <c r="C117" s="38">
        <v>231.02</v>
      </c>
      <c r="D117" s="21">
        <v>2.4600000000000002E-4</v>
      </c>
    </row>
    <row r="118" spans="1:4" x14ac:dyDescent="0.3">
      <c r="A118" s="19" t="s">
        <v>63</v>
      </c>
      <c r="B118" s="42" t="s">
        <v>103</v>
      </c>
      <c r="C118" s="38">
        <v>199.8</v>
      </c>
      <c r="D118" s="21">
        <v>2.13E-4</v>
      </c>
    </row>
    <row r="119" spans="1:4" x14ac:dyDescent="0.3">
      <c r="A119" s="19" t="s">
        <v>87</v>
      </c>
      <c r="B119" s="42" t="s">
        <v>103</v>
      </c>
      <c r="C119" s="38">
        <v>187.38</v>
      </c>
      <c r="D119" s="21">
        <v>1.9900000000000001E-4</v>
      </c>
    </row>
    <row r="120" spans="1:4" x14ac:dyDescent="0.3">
      <c r="A120" s="19" t="s">
        <v>26</v>
      </c>
      <c r="B120" s="42" t="s">
        <v>103</v>
      </c>
      <c r="C120" s="38">
        <v>160.86000000000001</v>
      </c>
      <c r="D120" s="21">
        <v>1.7100000000000001E-4</v>
      </c>
    </row>
    <row r="121" spans="1:4" x14ac:dyDescent="0.3">
      <c r="A121" s="19" t="s">
        <v>88</v>
      </c>
      <c r="B121" s="42" t="s">
        <v>103</v>
      </c>
      <c r="C121" s="38">
        <v>135.51</v>
      </c>
      <c r="D121" s="21">
        <v>1.44E-4</v>
      </c>
    </row>
    <row r="122" spans="1:4" x14ac:dyDescent="0.3">
      <c r="A122" s="19" t="s">
        <v>69</v>
      </c>
      <c r="B122" s="42" t="s">
        <v>103</v>
      </c>
      <c r="C122" s="38">
        <v>131.91999999999999</v>
      </c>
      <c r="D122" s="21">
        <v>1.4000000000000001E-4</v>
      </c>
    </row>
    <row r="123" spans="1:4" x14ac:dyDescent="0.3">
      <c r="A123" s="19" t="s">
        <v>75</v>
      </c>
      <c r="B123" s="42" t="s">
        <v>103</v>
      </c>
      <c r="C123" s="38">
        <v>123.63</v>
      </c>
      <c r="D123" s="21">
        <v>1.3200000000000001E-4</v>
      </c>
    </row>
    <row r="124" spans="1:4" x14ac:dyDescent="0.3">
      <c r="A124" s="19" t="s">
        <v>133</v>
      </c>
      <c r="B124" s="42" t="s">
        <v>103</v>
      </c>
      <c r="C124" s="38">
        <v>108.3</v>
      </c>
      <c r="D124" s="21">
        <v>1.15E-4</v>
      </c>
    </row>
    <row r="125" spans="1:4" x14ac:dyDescent="0.3">
      <c r="A125" s="19" t="s">
        <v>132</v>
      </c>
      <c r="B125" s="42" t="s">
        <v>103</v>
      </c>
      <c r="C125" s="38">
        <v>82.59</v>
      </c>
      <c r="D125" s="21">
        <v>8.8000000000000011E-5</v>
      </c>
    </row>
    <row r="126" spans="1:4" x14ac:dyDescent="0.3">
      <c r="A126" s="19" t="s">
        <v>134</v>
      </c>
      <c r="B126" s="42" t="s">
        <v>103</v>
      </c>
      <c r="C126" s="38">
        <v>75.23</v>
      </c>
      <c r="D126" s="21">
        <v>8.0000000000000007E-5</v>
      </c>
    </row>
    <row r="127" spans="1:4" x14ac:dyDescent="0.3">
      <c r="A127" s="19" t="s">
        <v>84</v>
      </c>
      <c r="B127" s="42" t="s">
        <v>103</v>
      </c>
      <c r="C127" s="38">
        <v>69.83</v>
      </c>
      <c r="D127" s="21">
        <v>7.400000000000001E-5</v>
      </c>
    </row>
    <row r="128" spans="1:4" x14ac:dyDescent="0.3">
      <c r="A128" s="19" t="s">
        <v>81</v>
      </c>
      <c r="B128" s="42" t="s">
        <v>103</v>
      </c>
      <c r="C128" s="38">
        <v>69.12</v>
      </c>
      <c r="D128" s="21">
        <v>7.400000000000001E-5</v>
      </c>
    </row>
    <row r="129" spans="1:4" x14ac:dyDescent="0.3">
      <c r="A129" s="19" t="s">
        <v>131</v>
      </c>
      <c r="B129" s="42" t="s">
        <v>103</v>
      </c>
      <c r="C129" s="38">
        <v>38.58</v>
      </c>
      <c r="D129" s="21">
        <v>4.1E-5</v>
      </c>
    </row>
    <row r="130" spans="1:4" x14ac:dyDescent="0.3">
      <c r="A130" s="19" t="s">
        <v>82</v>
      </c>
      <c r="B130" s="42" t="s">
        <v>103</v>
      </c>
      <c r="C130" s="38">
        <v>36.020000000000003</v>
      </c>
      <c r="D130" s="21">
        <v>3.8000000000000002E-5</v>
      </c>
    </row>
    <row r="131" spans="1:4" x14ac:dyDescent="0.3">
      <c r="A131" s="19" t="s">
        <v>135</v>
      </c>
      <c r="B131" s="42" t="s">
        <v>103</v>
      </c>
      <c r="C131" s="38">
        <v>25.2</v>
      </c>
      <c r="D131" s="21">
        <v>2.7000000000000002E-5</v>
      </c>
    </row>
    <row r="132" spans="1:4" x14ac:dyDescent="0.3">
      <c r="A132" s="19" t="s">
        <v>83</v>
      </c>
      <c r="B132" s="42" t="s">
        <v>103</v>
      </c>
      <c r="C132" s="38">
        <v>17</v>
      </c>
      <c r="D132" s="21">
        <v>1.8E-5</v>
      </c>
    </row>
    <row r="133" spans="1:4" x14ac:dyDescent="0.3">
      <c r="A133" s="19" t="s">
        <v>86</v>
      </c>
      <c r="B133" s="42" t="s">
        <v>103</v>
      </c>
      <c r="C133" s="38">
        <v>14.7</v>
      </c>
      <c r="D133" s="21">
        <v>1.5999999999999999E-5</v>
      </c>
    </row>
    <row r="134" spans="1:4" x14ac:dyDescent="0.3">
      <c r="A134" s="19" t="s">
        <v>98</v>
      </c>
      <c r="B134" s="42" t="s">
        <v>103</v>
      </c>
      <c r="C134" s="38">
        <v>5.98</v>
      </c>
      <c r="D134" s="21">
        <v>5.9999999999999993E-6</v>
      </c>
    </row>
    <row r="135" spans="1:4" x14ac:dyDescent="0.3">
      <c r="A135" s="19" t="s">
        <v>85</v>
      </c>
      <c r="B135" s="42" t="s">
        <v>103</v>
      </c>
      <c r="C135" s="38">
        <v>2.19</v>
      </c>
      <c r="D135" s="21">
        <v>1.9999999999999999E-6</v>
      </c>
    </row>
    <row r="136" spans="1:4" x14ac:dyDescent="0.3">
      <c r="A136" s="19" t="s">
        <v>0</v>
      </c>
      <c r="B136" s="42" t="s">
        <v>104</v>
      </c>
      <c r="C136" s="37">
        <v>285952.83</v>
      </c>
      <c r="D136" s="20">
        <v>0.24393100000000001</v>
      </c>
    </row>
    <row r="137" spans="1:4" x14ac:dyDescent="0.3">
      <c r="A137" s="19" t="s">
        <v>1</v>
      </c>
      <c r="B137" s="42" t="s">
        <v>104</v>
      </c>
      <c r="C137" s="37">
        <v>176055.4</v>
      </c>
      <c r="D137" s="20">
        <v>0.15018300000000001</v>
      </c>
    </row>
    <row r="138" spans="1:4" x14ac:dyDescent="0.3">
      <c r="A138" s="19" t="s">
        <v>2</v>
      </c>
      <c r="B138" s="42" t="s">
        <v>104</v>
      </c>
      <c r="C138" s="37">
        <v>161277.25</v>
      </c>
      <c r="D138" s="20">
        <v>0.137577</v>
      </c>
    </row>
    <row r="139" spans="1:4" x14ac:dyDescent="0.3">
      <c r="A139" s="19" t="s">
        <v>8</v>
      </c>
      <c r="B139" s="42" t="s">
        <v>104</v>
      </c>
      <c r="C139" s="37">
        <v>67095.92</v>
      </c>
      <c r="D139" s="20">
        <v>5.7236000000000002E-2</v>
      </c>
    </row>
    <row r="140" spans="1:4" x14ac:dyDescent="0.3">
      <c r="A140" s="19" t="s">
        <v>4</v>
      </c>
      <c r="B140" s="42" t="s">
        <v>104</v>
      </c>
      <c r="C140" s="37">
        <v>63229.2</v>
      </c>
      <c r="D140" s="20">
        <v>5.3936999999999999E-2</v>
      </c>
    </row>
    <row r="141" spans="1:4" x14ac:dyDescent="0.3">
      <c r="A141" s="19" t="s">
        <v>9</v>
      </c>
      <c r="B141" s="42" t="s">
        <v>104</v>
      </c>
      <c r="C141" s="37">
        <v>62614.38</v>
      </c>
      <c r="D141" s="20">
        <v>5.3413000000000002E-2</v>
      </c>
    </row>
    <row r="142" spans="1:4" x14ac:dyDescent="0.3">
      <c r="A142" s="19" t="s">
        <v>6</v>
      </c>
      <c r="B142" s="42" t="s">
        <v>104</v>
      </c>
      <c r="C142" s="37">
        <v>49804.2</v>
      </c>
      <c r="D142" s="20">
        <v>4.2485000000000002E-2</v>
      </c>
    </row>
    <row r="143" spans="1:4" x14ac:dyDescent="0.3">
      <c r="A143" s="19" t="s">
        <v>12</v>
      </c>
      <c r="B143" s="42" t="s">
        <v>104</v>
      </c>
      <c r="C143" s="37">
        <v>49051.13</v>
      </c>
      <c r="D143" s="20">
        <v>4.1843000000000005E-2</v>
      </c>
    </row>
    <row r="144" spans="1:4" x14ac:dyDescent="0.3">
      <c r="A144" s="19" t="s">
        <v>11</v>
      </c>
      <c r="B144" s="42" t="s">
        <v>104</v>
      </c>
      <c r="C144" s="37">
        <v>44433.39</v>
      </c>
      <c r="D144" s="20">
        <v>3.7904E-2</v>
      </c>
    </row>
    <row r="145" spans="1:4" x14ac:dyDescent="0.3">
      <c r="A145" s="19" t="s">
        <v>17</v>
      </c>
      <c r="B145" s="42" t="s">
        <v>104</v>
      </c>
      <c r="C145" s="37">
        <v>32819.42</v>
      </c>
      <c r="D145" s="20">
        <v>2.7996E-2</v>
      </c>
    </row>
    <row r="146" spans="1:4" x14ac:dyDescent="0.3">
      <c r="A146" s="19" t="s">
        <v>16</v>
      </c>
      <c r="B146" s="42" t="s">
        <v>104</v>
      </c>
      <c r="C146" s="37">
        <v>28634.69</v>
      </c>
      <c r="D146" s="20">
        <v>2.4426999999999997E-2</v>
      </c>
    </row>
    <row r="147" spans="1:4" x14ac:dyDescent="0.3">
      <c r="A147" s="19" t="s">
        <v>5</v>
      </c>
      <c r="B147" s="42" t="s">
        <v>104</v>
      </c>
      <c r="C147" s="37">
        <v>21048.720000000001</v>
      </c>
      <c r="D147" s="20">
        <v>1.7956E-2</v>
      </c>
    </row>
    <row r="148" spans="1:4" x14ac:dyDescent="0.3">
      <c r="A148" s="19" t="s">
        <v>10</v>
      </c>
      <c r="B148" s="42" t="s">
        <v>104</v>
      </c>
      <c r="C148" s="37">
        <v>20596.189999999999</v>
      </c>
      <c r="D148" s="20">
        <v>1.7568999999999998E-2</v>
      </c>
    </row>
    <row r="149" spans="1:4" x14ac:dyDescent="0.3">
      <c r="A149" s="19" t="s">
        <v>45</v>
      </c>
      <c r="B149" s="42" t="s">
        <v>104</v>
      </c>
      <c r="C149" s="37">
        <v>17608.66</v>
      </c>
      <c r="D149" s="20">
        <v>1.5021E-2</v>
      </c>
    </row>
    <row r="150" spans="1:4" x14ac:dyDescent="0.3">
      <c r="A150" s="19" t="s">
        <v>15</v>
      </c>
      <c r="B150" s="42" t="s">
        <v>104</v>
      </c>
      <c r="C150" s="37">
        <v>11644.14</v>
      </c>
      <c r="D150" s="20">
        <v>9.9329999999999991E-3</v>
      </c>
    </row>
    <row r="151" spans="1:4" x14ac:dyDescent="0.3">
      <c r="A151" s="19" t="s">
        <v>14</v>
      </c>
      <c r="B151" s="42" t="s">
        <v>104</v>
      </c>
      <c r="C151" s="37">
        <v>7926.52</v>
      </c>
      <c r="D151" s="20">
        <v>6.7620000000000006E-3</v>
      </c>
    </row>
    <row r="152" spans="1:4" x14ac:dyDescent="0.3">
      <c r="A152" s="19" t="s">
        <v>26</v>
      </c>
      <c r="B152" s="42" t="s">
        <v>104</v>
      </c>
      <c r="C152" s="37">
        <v>7733.38</v>
      </c>
      <c r="D152" s="20">
        <v>6.5969999999999996E-3</v>
      </c>
    </row>
    <row r="153" spans="1:4" x14ac:dyDescent="0.3">
      <c r="A153" s="19" t="s">
        <v>130</v>
      </c>
      <c r="B153" s="42" t="s">
        <v>104</v>
      </c>
      <c r="C153" s="37">
        <v>7630.38</v>
      </c>
      <c r="D153" s="20">
        <v>6.509E-3</v>
      </c>
    </row>
    <row r="154" spans="1:4" x14ac:dyDescent="0.3">
      <c r="A154" s="19" t="s">
        <v>40</v>
      </c>
      <c r="B154" s="42" t="s">
        <v>104</v>
      </c>
      <c r="C154" s="37">
        <v>6710.69</v>
      </c>
      <c r="D154" s="20">
        <v>5.7250000000000001E-3</v>
      </c>
    </row>
    <row r="155" spans="1:4" x14ac:dyDescent="0.3">
      <c r="A155" s="19" t="s">
        <v>41</v>
      </c>
      <c r="B155" s="42" t="s">
        <v>104</v>
      </c>
      <c r="C155" s="37">
        <v>5734.45</v>
      </c>
      <c r="D155" s="20">
        <v>4.8920000000000005E-3</v>
      </c>
    </row>
    <row r="156" spans="1:4" x14ac:dyDescent="0.3">
      <c r="A156" s="19" t="s">
        <v>29</v>
      </c>
      <c r="B156" s="42" t="s">
        <v>104</v>
      </c>
      <c r="C156" s="37">
        <v>4225.63</v>
      </c>
      <c r="D156" s="20">
        <v>3.6049999999999997E-3</v>
      </c>
    </row>
    <row r="157" spans="1:4" x14ac:dyDescent="0.3">
      <c r="A157" s="19" t="s">
        <v>24</v>
      </c>
      <c r="B157" s="42" t="s">
        <v>104</v>
      </c>
      <c r="C157" s="37">
        <v>4115.5</v>
      </c>
      <c r="D157" s="20">
        <v>3.5110000000000002E-3</v>
      </c>
    </row>
    <row r="158" spans="1:4" x14ac:dyDescent="0.3">
      <c r="A158" s="19" t="s">
        <v>18</v>
      </c>
      <c r="B158" s="42" t="s">
        <v>104</v>
      </c>
      <c r="C158" s="37">
        <v>3993.1</v>
      </c>
      <c r="D158" s="20">
        <v>3.4060000000000002E-3</v>
      </c>
    </row>
    <row r="159" spans="1:4" x14ac:dyDescent="0.3">
      <c r="A159" s="19" t="s">
        <v>39</v>
      </c>
      <c r="B159" s="42" t="s">
        <v>104</v>
      </c>
      <c r="C159" s="37">
        <v>3303.44</v>
      </c>
      <c r="D159" s="20">
        <v>2.8179999999999998E-3</v>
      </c>
    </row>
    <row r="160" spans="1:4" x14ac:dyDescent="0.3">
      <c r="A160" s="19" t="s">
        <v>21</v>
      </c>
      <c r="B160" s="42" t="s">
        <v>104</v>
      </c>
      <c r="C160" s="37">
        <v>2923.59</v>
      </c>
      <c r="D160" s="20">
        <v>2.4940000000000001E-3</v>
      </c>
    </row>
    <row r="161" spans="1:4" x14ac:dyDescent="0.3">
      <c r="A161" s="19" t="s">
        <v>38</v>
      </c>
      <c r="B161" s="42" t="s">
        <v>104</v>
      </c>
      <c r="C161" s="37">
        <v>2879.04</v>
      </c>
      <c r="D161" s="20">
        <v>2.4560000000000003E-3</v>
      </c>
    </row>
    <row r="162" spans="1:4" x14ac:dyDescent="0.3">
      <c r="A162" s="19" t="s">
        <v>49</v>
      </c>
      <c r="B162" s="42" t="s">
        <v>104</v>
      </c>
      <c r="C162" s="37">
        <v>2345.79</v>
      </c>
      <c r="D162" s="20">
        <v>2.0010000000000002E-3</v>
      </c>
    </row>
    <row r="163" spans="1:4" x14ac:dyDescent="0.3">
      <c r="A163" s="19" t="s">
        <v>30</v>
      </c>
      <c r="B163" s="42" t="s">
        <v>104</v>
      </c>
      <c r="C163" s="37">
        <v>1761</v>
      </c>
      <c r="D163" s="20">
        <v>1.5020000000000001E-3</v>
      </c>
    </row>
    <row r="164" spans="1:4" x14ac:dyDescent="0.3">
      <c r="A164" s="19" t="s">
        <v>34</v>
      </c>
      <c r="B164" s="42" t="s">
        <v>104</v>
      </c>
      <c r="C164" s="37">
        <v>1662.04</v>
      </c>
      <c r="D164" s="20">
        <v>1.418E-3</v>
      </c>
    </row>
    <row r="165" spans="1:4" x14ac:dyDescent="0.3">
      <c r="A165" s="19" t="s">
        <v>75</v>
      </c>
      <c r="B165" s="42" t="s">
        <v>104</v>
      </c>
      <c r="C165" s="37">
        <v>1530.48</v>
      </c>
      <c r="D165" s="20">
        <v>1.3059999999999999E-3</v>
      </c>
    </row>
    <row r="166" spans="1:4" x14ac:dyDescent="0.3">
      <c r="A166" s="19" t="s">
        <v>22</v>
      </c>
      <c r="B166" s="42" t="s">
        <v>104</v>
      </c>
      <c r="C166" s="37">
        <v>1486.33</v>
      </c>
      <c r="D166" s="20">
        <v>1.268E-3</v>
      </c>
    </row>
    <row r="167" spans="1:4" x14ac:dyDescent="0.3">
      <c r="A167" s="19" t="s">
        <v>28</v>
      </c>
      <c r="B167" s="42" t="s">
        <v>104</v>
      </c>
      <c r="C167" s="37">
        <v>1439.84</v>
      </c>
      <c r="D167" s="20">
        <v>1.2280000000000001E-3</v>
      </c>
    </row>
    <row r="168" spans="1:4" x14ac:dyDescent="0.3">
      <c r="A168" s="19" t="s">
        <v>48</v>
      </c>
      <c r="B168" s="42" t="s">
        <v>104</v>
      </c>
      <c r="C168" s="37">
        <v>1341.42</v>
      </c>
      <c r="D168" s="20">
        <v>1.1440000000000001E-3</v>
      </c>
    </row>
    <row r="169" spans="1:4" x14ac:dyDescent="0.3">
      <c r="A169" s="19" t="s">
        <v>23</v>
      </c>
      <c r="B169" s="42" t="s">
        <v>104</v>
      </c>
      <c r="C169" s="37">
        <v>1224.56</v>
      </c>
      <c r="D169" s="20">
        <v>1.0449999999999999E-3</v>
      </c>
    </row>
    <row r="170" spans="1:4" x14ac:dyDescent="0.3">
      <c r="A170" s="19" t="s">
        <v>32</v>
      </c>
      <c r="B170" s="42" t="s">
        <v>104</v>
      </c>
      <c r="C170" s="37">
        <v>1098.0999999999999</v>
      </c>
      <c r="D170" s="20">
        <v>9.3700000000000001E-4</v>
      </c>
    </row>
    <row r="171" spans="1:4" x14ac:dyDescent="0.3">
      <c r="A171" s="19" t="s">
        <v>62</v>
      </c>
      <c r="B171" s="42" t="s">
        <v>104</v>
      </c>
      <c r="C171" s="37">
        <v>1047.8699999999999</v>
      </c>
      <c r="D171" s="20">
        <v>8.9399999999999994E-4</v>
      </c>
    </row>
    <row r="172" spans="1:4" x14ac:dyDescent="0.3">
      <c r="A172" s="19" t="s">
        <v>33</v>
      </c>
      <c r="B172" s="42" t="s">
        <v>104</v>
      </c>
      <c r="C172" s="37">
        <v>990.93</v>
      </c>
      <c r="D172" s="20">
        <v>8.4500000000000005E-4</v>
      </c>
    </row>
    <row r="173" spans="1:4" x14ac:dyDescent="0.3">
      <c r="A173" s="19" t="s">
        <v>42</v>
      </c>
      <c r="B173" s="42" t="s">
        <v>104</v>
      </c>
      <c r="C173" s="37">
        <v>927.87</v>
      </c>
      <c r="D173" s="20">
        <v>7.9200000000000006E-4</v>
      </c>
    </row>
    <row r="174" spans="1:4" x14ac:dyDescent="0.3">
      <c r="A174" s="19" t="s">
        <v>96</v>
      </c>
      <c r="B174" s="42" t="s">
        <v>104</v>
      </c>
      <c r="C174" s="37">
        <v>889.68</v>
      </c>
      <c r="D174" s="20">
        <v>7.5899999999999991E-4</v>
      </c>
    </row>
    <row r="175" spans="1:4" x14ac:dyDescent="0.3">
      <c r="A175" s="19" t="s">
        <v>50</v>
      </c>
      <c r="B175" s="42" t="s">
        <v>104</v>
      </c>
      <c r="C175" s="37">
        <v>626.4</v>
      </c>
      <c r="D175" s="20">
        <v>5.3400000000000008E-4</v>
      </c>
    </row>
    <row r="176" spans="1:4" x14ac:dyDescent="0.3">
      <c r="A176" s="19" t="s">
        <v>54</v>
      </c>
      <c r="B176" s="42" t="s">
        <v>104</v>
      </c>
      <c r="C176" s="37">
        <v>595.87</v>
      </c>
      <c r="D176" s="20">
        <v>5.0799999999999999E-4</v>
      </c>
    </row>
    <row r="177" spans="1:4" x14ac:dyDescent="0.3">
      <c r="A177" s="19" t="s">
        <v>55</v>
      </c>
      <c r="B177" s="42" t="s">
        <v>104</v>
      </c>
      <c r="C177" s="37">
        <v>527.84</v>
      </c>
      <c r="D177" s="20">
        <v>4.4999999999999999E-4</v>
      </c>
    </row>
    <row r="178" spans="1:4" x14ac:dyDescent="0.3">
      <c r="A178" s="19" t="s">
        <v>63</v>
      </c>
      <c r="B178" s="42" t="s">
        <v>104</v>
      </c>
      <c r="C178" s="37">
        <v>450.51</v>
      </c>
      <c r="D178" s="20">
        <v>3.8399999999999996E-4</v>
      </c>
    </row>
    <row r="179" spans="1:4" x14ac:dyDescent="0.3">
      <c r="A179" s="19" t="s">
        <v>47</v>
      </c>
      <c r="B179" s="42" t="s">
        <v>104</v>
      </c>
      <c r="C179" s="37">
        <v>360.56</v>
      </c>
      <c r="D179" s="20">
        <v>3.0800000000000001E-4</v>
      </c>
    </row>
    <row r="180" spans="1:4" x14ac:dyDescent="0.3">
      <c r="A180" s="19" t="s">
        <v>60</v>
      </c>
      <c r="B180" s="42" t="s">
        <v>104</v>
      </c>
      <c r="C180" s="37">
        <v>268.95</v>
      </c>
      <c r="D180" s="20">
        <v>2.2900000000000001E-4</v>
      </c>
    </row>
    <row r="181" spans="1:4" x14ac:dyDescent="0.3">
      <c r="A181" s="19" t="s">
        <v>88</v>
      </c>
      <c r="B181" s="42" t="s">
        <v>104</v>
      </c>
      <c r="C181" s="37">
        <v>266.58999999999997</v>
      </c>
      <c r="D181" s="20">
        <v>2.2700000000000002E-4</v>
      </c>
    </row>
    <row r="182" spans="1:4" x14ac:dyDescent="0.3">
      <c r="A182" s="19" t="s">
        <v>59</v>
      </c>
      <c r="B182" s="42" t="s">
        <v>104</v>
      </c>
      <c r="C182" s="37">
        <v>261.07</v>
      </c>
      <c r="D182" s="20">
        <v>2.23E-4</v>
      </c>
    </row>
    <row r="183" spans="1:4" x14ac:dyDescent="0.3">
      <c r="A183" s="19" t="s">
        <v>74</v>
      </c>
      <c r="B183" s="42" t="s">
        <v>104</v>
      </c>
      <c r="C183" s="37">
        <v>232.05</v>
      </c>
      <c r="D183" s="20">
        <v>1.9800000000000002E-4</v>
      </c>
    </row>
    <row r="184" spans="1:4" x14ac:dyDescent="0.3">
      <c r="A184" s="19" t="s">
        <v>71</v>
      </c>
      <c r="B184" s="42" t="s">
        <v>104</v>
      </c>
      <c r="C184" s="37">
        <v>230.06</v>
      </c>
      <c r="D184" s="20">
        <v>1.9599999999999999E-4</v>
      </c>
    </row>
    <row r="185" spans="1:4" x14ac:dyDescent="0.3">
      <c r="A185" s="19" t="s">
        <v>76</v>
      </c>
      <c r="B185" s="42" t="s">
        <v>104</v>
      </c>
      <c r="C185" s="37">
        <v>202.28</v>
      </c>
      <c r="D185" s="20">
        <v>1.73E-4</v>
      </c>
    </row>
    <row r="186" spans="1:4" x14ac:dyDescent="0.3">
      <c r="A186" s="19" t="s">
        <v>87</v>
      </c>
      <c r="B186" s="42" t="s">
        <v>104</v>
      </c>
      <c r="C186" s="37">
        <v>172.29</v>
      </c>
      <c r="D186" s="20">
        <v>1.47E-4</v>
      </c>
    </row>
    <row r="187" spans="1:4" x14ac:dyDescent="0.3">
      <c r="A187" s="19" t="s">
        <v>72</v>
      </c>
      <c r="B187" s="42" t="s">
        <v>104</v>
      </c>
      <c r="C187" s="37">
        <v>151.61000000000001</v>
      </c>
      <c r="D187" s="20">
        <v>1.2899999999999999E-4</v>
      </c>
    </row>
    <row r="188" spans="1:4" x14ac:dyDescent="0.3">
      <c r="A188" s="19" t="s">
        <v>52</v>
      </c>
      <c r="B188" s="42" t="s">
        <v>104</v>
      </c>
      <c r="C188" s="37">
        <v>145.78</v>
      </c>
      <c r="D188" s="20">
        <v>1.2400000000000001E-4</v>
      </c>
    </row>
    <row r="189" spans="1:4" x14ac:dyDescent="0.3">
      <c r="A189" s="19" t="s">
        <v>136</v>
      </c>
      <c r="B189" s="42" t="s">
        <v>104</v>
      </c>
      <c r="C189" s="37">
        <v>129.41999999999999</v>
      </c>
      <c r="D189" s="20">
        <v>1.0999999999999999E-4</v>
      </c>
    </row>
    <row r="190" spans="1:4" x14ac:dyDescent="0.3">
      <c r="A190" s="19" t="s">
        <v>137</v>
      </c>
      <c r="B190" s="42" t="s">
        <v>104</v>
      </c>
      <c r="C190" s="37">
        <v>115.47</v>
      </c>
      <c r="D190" s="20">
        <v>9.9000000000000008E-5</v>
      </c>
    </row>
    <row r="191" spans="1:4" x14ac:dyDescent="0.3">
      <c r="A191" s="19" t="s">
        <v>133</v>
      </c>
      <c r="B191" s="42" t="s">
        <v>104</v>
      </c>
      <c r="C191" s="37">
        <v>101.44</v>
      </c>
      <c r="D191" s="20">
        <v>8.7000000000000001E-5</v>
      </c>
    </row>
    <row r="192" spans="1:4" x14ac:dyDescent="0.3">
      <c r="A192" s="19" t="s">
        <v>134</v>
      </c>
      <c r="B192" s="42" t="s">
        <v>104</v>
      </c>
      <c r="C192" s="37">
        <v>92.36</v>
      </c>
      <c r="D192" s="20">
        <v>7.9000000000000009E-5</v>
      </c>
    </row>
    <row r="193" spans="1:4" x14ac:dyDescent="0.3">
      <c r="A193" s="19" t="s">
        <v>80</v>
      </c>
      <c r="B193" s="42" t="s">
        <v>104</v>
      </c>
      <c r="C193" s="37">
        <v>90.43</v>
      </c>
      <c r="D193" s="20">
        <v>7.7000000000000001E-5</v>
      </c>
    </row>
    <row r="194" spans="1:4" x14ac:dyDescent="0.3">
      <c r="A194" s="19" t="s">
        <v>58</v>
      </c>
      <c r="B194" s="42" t="s">
        <v>104</v>
      </c>
      <c r="C194" s="37">
        <v>81.290000000000006</v>
      </c>
      <c r="D194" s="20">
        <v>6.8999999999999997E-5</v>
      </c>
    </row>
    <row r="195" spans="1:4" x14ac:dyDescent="0.3">
      <c r="A195" s="19" t="s">
        <v>131</v>
      </c>
      <c r="B195" s="42" t="s">
        <v>104</v>
      </c>
      <c r="C195" s="37">
        <v>77.16</v>
      </c>
      <c r="D195" s="20">
        <v>6.6000000000000005E-5</v>
      </c>
    </row>
    <row r="196" spans="1:4" x14ac:dyDescent="0.3">
      <c r="A196" s="19" t="s">
        <v>57</v>
      </c>
      <c r="B196" s="42" t="s">
        <v>104</v>
      </c>
      <c r="C196" s="37">
        <v>71.55</v>
      </c>
      <c r="D196" s="20">
        <v>6.1000000000000005E-5</v>
      </c>
    </row>
    <row r="197" spans="1:4" x14ac:dyDescent="0.3">
      <c r="A197" s="19" t="s">
        <v>83</v>
      </c>
      <c r="B197" s="42" t="s">
        <v>104</v>
      </c>
      <c r="C197" s="37">
        <v>71.400000000000006</v>
      </c>
      <c r="D197" s="20">
        <v>6.1000000000000005E-5</v>
      </c>
    </row>
    <row r="198" spans="1:4" x14ac:dyDescent="0.3">
      <c r="A198" s="19" t="s">
        <v>138</v>
      </c>
      <c r="B198" s="42" t="s">
        <v>104</v>
      </c>
      <c r="C198" s="37">
        <v>63.09</v>
      </c>
      <c r="D198" s="20">
        <v>5.4000000000000005E-5</v>
      </c>
    </row>
    <row r="199" spans="1:4" x14ac:dyDescent="0.3">
      <c r="A199" s="19" t="s">
        <v>84</v>
      </c>
      <c r="B199" s="42" t="s">
        <v>104</v>
      </c>
      <c r="C199" s="37">
        <v>46.56</v>
      </c>
      <c r="D199" s="20">
        <v>4.0000000000000003E-5</v>
      </c>
    </row>
    <row r="200" spans="1:4" x14ac:dyDescent="0.3">
      <c r="A200" s="19" t="s">
        <v>139</v>
      </c>
      <c r="B200" s="42" t="s">
        <v>104</v>
      </c>
      <c r="C200" s="37">
        <v>19.28</v>
      </c>
      <c r="D200" s="20">
        <v>1.5999999999999999E-5</v>
      </c>
    </row>
    <row r="201" spans="1:4" x14ac:dyDescent="0.3">
      <c r="A201" s="19" t="s">
        <v>67</v>
      </c>
      <c r="B201" s="42" t="s">
        <v>104</v>
      </c>
      <c r="C201" s="37">
        <v>17.88</v>
      </c>
      <c r="D201" s="20">
        <v>1.5E-5</v>
      </c>
    </row>
    <row r="202" spans="1:4" x14ac:dyDescent="0.3">
      <c r="A202" s="19" t="s">
        <v>81</v>
      </c>
      <c r="B202" s="42" t="s">
        <v>104</v>
      </c>
      <c r="C202" s="37">
        <v>13.04</v>
      </c>
      <c r="D202" s="20">
        <v>1.1000000000000001E-5</v>
      </c>
    </row>
    <row r="203" spans="1:4" x14ac:dyDescent="0.3">
      <c r="A203" s="19" t="s">
        <v>66</v>
      </c>
      <c r="B203" s="42" t="s">
        <v>104</v>
      </c>
      <c r="C203" s="37">
        <v>1.38</v>
      </c>
      <c r="D203" s="20">
        <v>9.9999999999999995E-7</v>
      </c>
    </row>
    <row r="204" spans="1:4" x14ac:dyDescent="0.3">
      <c r="A204" s="19" t="s">
        <v>0</v>
      </c>
      <c r="B204" s="42" t="s">
        <v>107</v>
      </c>
      <c r="C204" s="39">
        <v>168895.5</v>
      </c>
      <c r="D204" s="20">
        <v>0.17544299999999999</v>
      </c>
    </row>
    <row r="205" spans="1:4" x14ac:dyDescent="0.3">
      <c r="A205" s="19" t="s">
        <v>1</v>
      </c>
      <c r="B205" s="42" t="s">
        <v>107</v>
      </c>
      <c r="C205" s="39">
        <v>110342.63</v>
      </c>
      <c r="D205" s="20">
        <v>0.11462</v>
      </c>
    </row>
    <row r="206" spans="1:4" x14ac:dyDescent="0.3">
      <c r="A206" s="19" t="s">
        <v>2</v>
      </c>
      <c r="B206" s="42" t="s">
        <v>107</v>
      </c>
      <c r="C206" s="39">
        <v>95493.42</v>
      </c>
      <c r="D206" s="20">
        <v>9.9194999999999992E-2</v>
      </c>
    </row>
    <row r="207" spans="1:4" x14ac:dyDescent="0.3">
      <c r="A207" s="19" t="s">
        <v>4</v>
      </c>
      <c r="B207" s="42" t="s">
        <v>107</v>
      </c>
      <c r="C207" s="39">
        <v>82649</v>
      </c>
      <c r="D207" s="20">
        <v>8.5852999999999999E-2</v>
      </c>
    </row>
    <row r="208" spans="1:4" x14ac:dyDescent="0.3">
      <c r="A208" s="19" t="s">
        <v>8</v>
      </c>
      <c r="B208" s="42" t="s">
        <v>107</v>
      </c>
      <c r="C208" s="39">
        <v>75324.259999999995</v>
      </c>
      <c r="D208" s="20">
        <v>7.8243999999999994E-2</v>
      </c>
    </row>
    <row r="209" spans="1:4" x14ac:dyDescent="0.3">
      <c r="A209" s="19" t="s">
        <v>12</v>
      </c>
      <c r="B209" s="42" t="s">
        <v>107</v>
      </c>
      <c r="C209" s="39">
        <v>71149.039999999994</v>
      </c>
      <c r="D209" s="20">
        <v>7.3907E-2</v>
      </c>
    </row>
    <row r="210" spans="1:4" x14ac:dyDescent="0.3">
      <c r="A210" s="19" t="s">
        <v>5</v>
      </c>
      <c r="B210" s="42" t="s">
        <v>107</v>
      </c>
      <c r="C210" s="39">
        <v>53274.239999999998</v>
      </c>
      <c r="D210" s="20">
        <v>5.534E-2</v>
      </c>
    </row>
    <row r="211" spans="1:4" x14ac:dyDescent="0.3">
      <c r="A211" s="19" t="s">
        <v>9</v>
      </c>
      <c r="B211" s="42" t="s">
        <v>107</v>
      </c>
      <c r="C211" s="39">
        <v>49121.36</v>
      </c>
      <c r="D211" s="20">
        <v>5.1025999999999995E-2</v>
      </c>
    </row>
    <row r="212" spans="1:4" x14ac:dyDescent="0.3">
      <c r="A212" s="19" t="s">
        <v>17</v>
      </c>
      <c r="B212" s="42" t="s">
        <v>107</v>
      </c>
      <c r="C212" s="39">
        <v>46448.15</v>
      </c>
      <c r="D212" s="20">
        <v>4.8249000000000007E-2</v>
      </c>
    </row>
    <row r="213" spans="1:4" x14ac:dyDescent="0.3">
      <c r="A213" s="19" t="s">
        <v>11</v>
      </c>
      <c r="B213" s="42" t="s">
        <v>107</v>
      </c>
      <c r="C213" s="39">
        <v>33706.26</v>
      </c>
      <c r="D213" s="20">
        <v>3.5013000000000002E-2</v>
      </c>
    </row>
    <row r="214" spans="1:4" x14ac:dyDescent="0.3">
      <c r="A214" s="19" t="s">
        <v>6</v>
      </c>
      <c r="B214" s="42" t="s">
        <v>107</v>
      </c>
      <c r="C214" s="39">
        <v>33328.54</v>
      </c>
      <c r="D214" s="20">
        <v>3.4620999999999999E-2</v>
      </c>
    </row>
    <row r="215" spans="1:4" x14ac:dyDescent="0.3">
      <c r="A215" s="19" t="s">
        <v>15</v>
      </c>
      <c r="B215" s="42" t="s">
        <v>107</v>
      </c>
      <c r="C215" s="39">
        <v>14928.53</v>
      </c>
      <c r="D215" s="20">
        <v>1.5507E-2</v>
      </c>
    </row>
    <row r="216" spans="1:4" x14ac:dyDescent="0.3">
      <c r="A216" s="19" t="s">
        <v>41</v>
      </c>
      <c r="B216" s="42" t="s">
        <v>107</v>
      </c>
      <c r="C216" s="39">
        <v>14005.11</v>
      </c>
      <c r="D216" s="20">
        <v>1.4548E-2</v>
      </c>
    </row>
    <row r="217" spans="1:4" x14ac:dyDescent="0.3">
      <c r="A217" s="19" t="s">
        <v>10</v>
      </c>
      <c r="B217" s="42" t="s">
        <v>107</v>
      </c>
      <c r="C217" s="39">
        <v>13324.33</v>
      </c>
      <c r="D217" s="20">
        <v>1.3841000000000001E-2</v>
      </c>
    </row>
    <row r="218" spans="1:4" x14ac:dyDescent="0.3">
      <c r="A218" s="19" t="s">
        <v>34</v>
      </c>
      <c r="B218" s="42" t="s">
        <v>107</v>
      </c>
      <c r="C218" s="39">
        <v>10341.120000000001</v>
      </c>
      <c r="D218" s="20">
        <v>1.0742E-2</v>
      </c>
    </row>
    <row r="219" spans="1:4" x14ac:dyDescent="0.3">
      <c r="A219" s="19" t="s">
        <v>16</v>
      </c>
      <c r="B219" s="42" t="s">
        <v>107</v>
      </c>
      <c r="C219" s="39">
        <v>9909.3799999999992</v>
      </c>
      <c r="D219" s="20">
        <v>1.0294000000000001E-2</v>
      </c>
    </row>
    <row r="220" spans="1:4" x14ac:dyDescent="0.3">
      <c r="A220" s="19" t="s">
        <v>24</v>
      </c>
      <c r="B220" s="42" t="s">
        <v>107</v>
      </c>
      <c r="C220" s="39">
        <v>9119.58</v>
      </c>
      <c r="D220" s="20">
        <v>9.4730000000000005E-3</v>
      </c>
    </row>
    <row r="221" spans="1:4" x14ac:dyDescent="0.3">
      <c r="A221" s="19" t="s">
        <v>130</v>
      </c>
      <c r="B221" s="42" t="s">
        <v>107</v>
      </c>
      <c r="C221" s="39">
        <v>7765.35</v>
      </c>
      <c r="D221" s="20">
        <v>8.0660000000000003E-3</v>
      </c>
    </row>
    <row r="222" spans="1:4" x14ac:dyDescent="0.3">
      <c r="A222" s="19" t="s">
        <v>29</v>
      </c>
      <c r="B222" s="42" t="s">
        <v>107</v>
      </c>
      <c r="C222" s="39">
        <v>7288.04</v>
      </c>
      <c r="D222" s="20">
        <v>7.5709999999999996E-3</v>
      </c>
    </row>
    <row r="223" spans="1:4" x14ac:dyDescent="0.3">
      <c r="A223" s="19" t="s">
        <v>21</v>
      </c>
      <c r="B223" s="42" t="s">
        <v>107</v>
      </c>
      <c r="C223" s="39">
        <v>6848.4</v>
      </c>
      <c r="D223" s="20">
        <v>7.1140000000000005E-3</v>
      </c>
    </row>
    <row r="224" spans="1:4" x14ac:dyDescent="0.3">
      <c r="A224" s="19" t="s">
        <v>40</v>
      </c>
      <c r="B224" s="42" t="s">
        <v>107</v>
      </c>
      <c r="C224" s="39">
        <v>6410.6</v>
      </c>
      <c r="D224" s="20">
        <v>6.6590000000000009E-3</v>
      </c>
    </row>
    <row r="225" spans="1:4" x14ac:dyDescent="0.3">
      <c r="A225" s="19" t="s">
        <v>49</v>
      </c>
      <c r="B225" s="42" t="s">
        <v>107</v>
      </c>
      <c r="C225" s="39">
        <v>5954.65</v>
      </c>
      <c r="D225" s="20">
        <v>6.1850000000000004E-3</v>
      </c>
    </row>
    <row r="226" spans="1:4" x14ac:dyDescent="0.3">
      <c r="A226" s="19" t="s">
        <v>14</v>
      </c>
      <c r="B226" s="42" t="s">
        <v>107</v>
      </c>
      <c r="C226" s="39">
        <v>5406.98</v>
      </c>
      <c r="D226" s="20">
        <v>5.6169999999999996E-3</v>
      </c>
    </row>
    <row r="227" spans="1:4" x14ac:dyDescent="0.3">
      <c r="A227" s="19" t="s">
        <v>30</v>
      </c>
      <c r="B227" s="42" t="s">
        <v>107</v>
      </c>
      <c r="C227" s="39">
        <v>3494.86</v>
      </c>
      <c r="D227" s="20">
        <v>3.63E-3</v>
      </c>
    </row>
    <row r="228" spans="1:4" x14ac:dyDescent="0.3">
      <c r="A228" s="19" t="s">
        <v>22</v>
      </c>
      <c r="B228" s="42" t="s">
        <v>107</v>
      </c>
      <c r="C228" s="39">
        <v>3390.03</v>
      </c>
      <c r="D228" s="20">
        <v>3.5210000000000003E-3</v>
      </c>
    </row>
    <row r="229" spans="1:4" x14ac:dyDescent="0.3">
      <c r="A229" s="19" t="s">
        <v>39</v>
      </c>
      <c r="B229" s="42" t="s">
        <v>107</v>
      </c>
      <c r="C229" s="39">
        <v>3143.7</v>
      </c>
      <c r="D229" s="20">
        <v>3.2659999999999998E-3</v>
      </c>
    </row>
    <row r="230" spans="1:4" x14ac:dyDescent="0.3">
      <c r="A230" s="19" t="s">
        <v>33</v>
      </c>
      <c r="B230" s="42" t="s">
        <v>107</v>
      </c>
      <c r="C230" s="39">
        <v>2490.42</v>
      </c>
      <c r="D230" s="20">
        <v>2.5869999999999999E-3</v>
      </c>
    </row>
    <row r="231" spans="1:4" x14ac:dyDescent="0.3">
      <c r="A231" s="19" t="s">
        <v>18</v>
      </c>
      <c r="B231" s="42" t="s">
        <v>107</v>
      </c>
      <c r="C231" s="39">
        <v>2053.1</v>
      </c>
      <c r="D231" s="20">
        <v>2.1329999999999999E-3</v>
      </c>
    </row>
    <row r="232" spans="1:4" x14ac:dyDescent="0.3">
      <c r="A232" s="19" t="s">
        <v>26</v>
      </c>
      <c r="B232" s="42" t="s">
        <v>107</v>
      </c>
      <c r="C232" s="39">
        <v>1932.1</v>
      </c>
      <c r="D232" s="20">
        <v>2.0070000000000001E-3</v>
      </c>
    </row>
    <row r="233" spans="1:4" x14ac:dyDescent="0.3">
      <c r="A233" s="19" t="s">
        <v>23</v>
      </c>
      <c r="B233" s="42" t="s">
        <v>107</v>
      </c>
      <c r="C233" s="39">
        <v>1848.16</v>
      </c>
      <c r="D233" s="20">
        <v>1.92E-3</v>
      </c>
    </row>
    <row r="234" spans="1:4" x14ac:dyDescent="0.3">
      <c r="A234" s="19" t="s">
        <v>38</v>
      </c>
      <c r="B234" s="42" t="s">
        <v>107</v>
      </c>
      <c r="C234" s="39">
        <v>1785.45</v>
      </c>
      <c r="D234" s="20">
        <v>1.8549999999999999E-3</v>
      </c>
    </row>
    <row r="235" spans="1:4" x14ac:dyDescent="0.3">
      <c r="A235" s="19" t="s">
        <v>96</v>
      </c>
      <c r="B235" s="42" t="s">
        <v>107</v>
      </c>
      <c r="C235" s="39">
        <v>1424.56</v>
      </c>
      <c r="D235" s="20">
        <v>1.48E-3</v>
      </c>
    </row>
    <row r="236" spans="1:4" x14ac:dyDescent="0.3">
      <c r="A236" s="19" t="s">
        <v>50</v>
      </c>
      <c r="B236" s="42" t="s">
        <v>107</v>
      </c>
      <c r="C236" s="39">
        <v>943.08</v>
      </c>
      <c r="D236" s="20">
        <v>9.7999999999999997E-4</v>
      </c>
    </row>
    <row r="237" spans="1:4" x14ac:dyDescent="0.3">
      <c r="A237" s="19" t="s">
        <v>42</v>
      </c>
      <c r="B237" s="42" t="s">
        <v>107</v>
      </c>
      <c r="C237" s="39">
        <v>919.01</v>
      </c>
      <c r="D237" s="20">
        <v>9.5500000000000001E-4</v>
      </c>
    </row>
    <row r="238" spans="1:4" x14ac:dyDescent="0.3">
      <c r="A238" s="19" t="s">
        <v>63</v>
      </c>
      <c r="B238" s="42" t="s">
        <v>107</v>
      </c>
      <c r="C238" s="39">
        <v>848.1</v>
      </c>
      <c r="D238" s="20">
        <v>8.8099999999999995E-4</v>
      </c>
    </row>
    <row r="239" spans="1:4" x14ac:dyDescent="0.3">
      <c r="A239" s="19" t="s">
        <v>45</v>
      </c>
      <c r="B239" s="42" t="s">
        <v>107</v>
      </c>
      <c r="C239" s="39">
        <v>723.38</v>
      </c>
      <c r="D239" s="20">
        <v>7.5100000000000004E-4</v>
      </c>
    </row>
    <row r="240" spans="1:4" x14ac:dyDescent="0.3">
      <c r="A240" s="19" t="s">
        <v>47</v>
      </c>
      <c r="B240" s="42" t="s">
        <v>107</v>
      </c>
      <c r="C240" s="39">
        <v>648.85</v>
      </c>
      <c r="D240" s="20">
        <v>6.7400000000000001E-4</v>
      </c>
    </row>
    <row r="241" spans="1:4" x14ac:dyDescent="0.3">
      <c r="A241" s="19" t="s">
        <v>58</v>
      </c>
      <c r="B241" s="42" t="s">
        <v>107</v>
      </c>
      <c r="C241" s="39">
        <v>568.04</v>
      </c>
      <c r="D241" s="20">
        <v>5.8999999999999992E-4</v>
      </c>
    </row>
    <row r="242" spans="1:4" x14ac:dyDescent="0.3">
      <c r="A242" s="19" t="s">
        <v>54</v>
      </c>
      <c r="B242" s="42" t="s">
        <v>107</v>
      </c>
      <c r="C242" s="39">
        <v>528.29</v>
      </c>
      <c r="D242" s="20">
        <v>5.4900000000000001E-4</v>
      </c>
    </row>
    <row r="243" spans="1:4" x14ac:dyDescent="0.3">
      <c r="A243" s="19" t="s">
        <v>60</v>
      </c>
      <c r="B243" s="42" t="s">
        <v>107</v>
      </c>
      <c r="C243" s="39">
        <v>526.1</v>
      </c>
      <c r="D243" s="20">
        <v>5.4600000000000004E-4</v>
      </c>
    </row>
    <row r="244" spans="1:4" x14ac:dyDescent="0.3">
      <c r="A244" s="19" t="s">
        <v>74</v>
      </c>
      <c r="B244" s="42" t="s">
        <v>107</v>
      </c>
      <c r="C244" s="39">
        <v>520.29999999999995</v>
      </c>
      <c r="D244" s="20">
        <v>5.4000000000000001E-4</v>
      </c>
    </row>
    <row r="245" spans="1:4" x14ac:dyDescent="0.3">
      <c r="A245" s="19" t="s">
        <v>28</v>
      </c>
      <c r="B245" s="42" t="s">
        <v>107</v>
      </c>
      <c r="C245" s="39">
        <v>510.34</v>
      </c>
      <c r="D245" s="20">
        <v>5.2999999999999998E-4</v>
      </c>
    </row>
    <row r="246" spans="1:4" x14ac:dyDescent="0.3">
      <c r="A246" s="19" t="s">
        <v>62</v>
      </c>
      <c r="B246" s="42" t="s">
        <v>107</v>
      </c>
      <c r="C246" s="39">
        <v>488.95</v>
      </c>
      <c r="D246" s="20">
        <v>5.0799999999999999E-4</v>
      </c>
    </row>
    <row r="247" spans="1:4" x14ac:dyDescent="0.3">
      <c r="A247" s="19" t="s">
        <v>32</v>
      </c>
      <c r="B247" s="42" t="s">
        <v>107</v>
      </c>
      <c r="C247" s="39">
        <v>472.24</v>
      </c>
      <c r="D247" s="20">
        <v>4.9100000000000001E-4</v>
      </c>
    </row>
    <row r="248" spans="1:4" x14ac:dyDescent="0.3">
      <c r="A248" s="19" t="s">
        <v>59</v>
      </c>
      <c r="B248" s="42" t="s">
        <v>107</v>
      </c>
      <c r="C248" s="39">
        <v>365.3</v>
      </c>
      <c r="D248" s="20">
        <v>3.7900000000000005E-4</v>
      </c>
    </row>
    <row r="249" spans="1:4" x14ac:dyDescent="0.3">
      <c r="A249" s="19" t="s">
        <v>67</v>
      </c>
      <c r="B249" s="42" t="s">
        <v>107</v>
      </c>
      <c r="C249" s="39">
        <v>299.37</v>
      </c>
      <c r="D249" s="20">
        <v>3.1099999999999997E-4</v>
      </c>
    </row>
    <row r="250" spans="1:4" x14ac:dyDescent="0.3">
      <c r="A250" s="19" t="s">
        <v>133</v>
      </c>
      <c r="B250" s="42" t="s">
        <v>107</v>
      </c>
      <c r="C250" s="39">
        <v>212.9</v>
      </c>
      <c r="D250" s="20">
        <v>2.2100000000000001E-4</v>
      </c>
    </row>
    <row r="251" spans="1:4" x14ac:dyDescent="0.3">
      <c r="A251" s="19" t="s">
        <v>134</v>
      </c>
      <c r="B251" s="42" t="s">
        <v>107</v>
      </c>
      <c r="C251" s="39">
        <v>207.37</v>
      </c>
      <c r="D251" s="20">
        <v>2.1499999999999999E-4</v>
      </c>
    </row>
    <row r="252" spans="1:4" x14ac:dyDescent="0.3">
      <c r="A252" s="19" t="s">
        <v>88</v>
      </c>
      <c r="B252" s="42" t="s">
        <v>107</v>
      </c>
      <c r="C252" s="39">
        <v>202.62</v>
      </c>
      <c r="D252" s="20">
        <v>2.1000000000000001E-4</v>
      </c>
    </row>
    <row r="253" spans="1:4" x14ac:dyDescent="0.3">
      <c r="A253" s="19" t="s">
        <v>131</v>
      </c>
      <c r="B253" s="42" t="s">
        <v>107</v>
      </c>
      <c r="C253" s="39">
        <v>163.54</v>
      </c>
      <c r="D253" s="20">
        <v>1.7000000000000001E-4</v>
      </c>
    </row>
    <row r="254" spans="1:4" x14ac:dyDescent="0.3">
      <c r="A254" s="19" t="s">
        <v>136</v>
      </c>
      <c r="B254" s="42" t="s">
        <v>107</v>
      </c>
      <c r="C254" s="39">
        <v>149.9</v>
      </c>
      <c r="D254" s="20">
        <v>1.56E-4</v>
      </c>
    </row>
    <row r="255" spans="1:4" x14ac:dyDescent="0.3">
      <c r="A255" s="19" t="s">
        <v>52</v>
      </c>
      <c r="B255" s="42" t="s">
        <v>107</v>
      </c>
      <c r="C255" s="39">
        <v>142.16</v>
      </c>
      <c r="D255" s="20">
        <v>1.4800000000000002E-4</v>
      </c>
    </row>
    <row r="256" spans="1:4" x14ac:dyDescent="0.3">
      <c r="A256" s="19" t="s">
        <v>66</v>
      </c>
      <c r="B256" s="42" t="s">
        <v>107</v>
      </c>
      <c r="C256" s="39">
        <v>125.32</v>
      </c>
      <c r="D256" s="20">
        <v>1.2999999999999999E-4</v>
      </c>
    </row>
    <row r="257" spans="1:4" x14ac:dyDescent="0.3">
      <c r="A257" s="19" t="s">
        <v>75</v>
      </c>
      <c r="B257" s="42" t="s">
        <v>107</v>
      </c>
      <c r="C257" s="39">
        <v>94.14</v>
      </c>
      <c r="D257" s="20">
        <v>9.7999999999999997E-5</v>
      </c>
    </row>
    <row r="258" spans="1:4" x14ac:dyDescent="0.3">
      <c r="A258" s="19" t="s">
        <v>81</v>
      </c>
      <c r="B258" s="42" t="s">
        <v>107</v>
      </c>
      <c r="C258" s="39">
        <v>85.24</v>
      </c>
      <c r="D258" s="20">
        <v>8.8999999999999995E-5</v>
      </c>
    </row>
    <row r="259" spans="1:4" x14ac:dyDescent="0.3">
      <c r="A259" s="19" t="s">
        <v>87</v>
      </c>
      <c r="B259" s="42" t="s">
        <v>107</v>
      </c>
      <c r="C259" s="39">
        <v>61.92</v>
      </c>
      <c r="D259" s="20">
        <v>6.3999999999999997E-5</v>
      </c>
    </row>
    <row r="260" spans="1:4" x14ac:dyDescent="0.3">
      <c r="A260" s="19" t="s">
        <v>76</v>
      </c>
      <c r="B260" s="42" t="s">
        <v>107</v>
      </c>
      <c r="C260" s="39">
        <v>60.56</v>
      </c>
      <c r="D260" s="20">
        <v>6.3E-5</v>
      </c>
    </row>
    <row r="261" spans="1:4" x14ac:dyDescent="0.3">
      <c r="B261" s="42" t="s">
        <v>107</v>
      </c>
      <c r="C261" s="39">
        <v>37.75</v>
      </c>
      <c r="D261" s="20">
        <v>3.8999999999999999E-5</v>
      </c>
    </row>
    <row r="262" spans="1:4" x14ac:dyDescent="0.3">
      <c r="A262" s="19" t="s">
        <v>72</v>
      </c>
      <c r="B262" s="42" t="s">
        <v>107</v>
      </c>
      <c r="C262" s="39">
        <v>37.32</v>
      </c>
      <c r="D262" s="20">
        <v>3.8999999999999999E-5</v>
      </c>
    </row>
    <row r="263" spans="1:4" x14ac:dyDescent="0.3">
      <c r="A263" s="19" t="s">
        <v>83</v>
      </c>
      <c r="B263" s="42" t="s">
        <v>107</v>
      </c>
      <c r="C263" s="39">
        <v>34</v>
      </c>
      <c r="D263" s="20">
        <v>3.5000000000000004E-5</v>
      </c>
    </row>
    <row r="264" spans="1:4" x14ac:dyDescent="0.3">
      <c r="A264" s="19" t="s">
        <v>57</v>
      </c>
      <c r="B264" s="42" t="s">
        <v>107</v>
      </c>
      <c r="C264" s="39">
        <v>27</v>
      </c>
      <c r="D264" s="20">
        <v>2.8E-5</v>
      </c>
    </row>
    <row r="265" spans="1:4" x14ac:dyDescent="0.3">
      <c r="A265" s="19" t="s">
        <v>135</v>
      </c>
      <c r="B265" s="42" t="s">
        <v>107</v>
      </c>
      <c r="C265" s="39">
        <v>25.2</v>
      </c>
      <c r="D265" s="20">
        <v>2.5999999999999998E-5</v>
      </c>
    </row>
    <row r="266" spans="1:4" x14ac:dyDescent="0.3">
      <c r="A266" s="19" t="s">
        <v>82</v>
      </c>
      <c r="B266" s="42" t="s">
        <v>107</v>
      </c>
      <c r="C266" s="39">
        <v>23.82</v>
      </c>
      <c r="D266" s="20">
        <v>2.5000000000000001E-5</v>
      </c>
    </row>
    <row r="267" spans="1:4" x14ac:dyDescent="0.3">
      <c r="A267" s="19" t="s">
        <v>71</v>
      </c>
      <c r="B267" s="42" t="s">
        <v>107</v>
      </c>
      <c r="C267" s="39">
        <v>22.14</v>
      </c>
      <c r="D267" s="20">
        <v>2.3E-5</v>
      </c>
    </row>
    <row r="268" spans="1:4" x14ac:dyDescent="0.3">
      <c r="A268" s="19" t="s">
        <v>147</v>
      </c>
      <c r="B268" s="42" t="s">
        <v>107</v>
      </c>
      <c r="C268" s="39">
        <v>8.99</v>
      </c>
      <c r="D268" s="20">
        <v>9.0000000000000002E-6</v>
      </c>
    </row>
    <row r="269" spans="1:4" x14ac:dyDescent="0.3">
      <c r="A269" s="19" t="s">
        <v>0</v>
      </c>
      <c r="B269" s="42" t="s">
        <v>108</v>
      </c>
      <c r="C269" s="40">
        <v>294125.17</v>
      </c>
      <c r="D269" s="20">
        <v>0.24318600000000001</v>
      </c>
    </row>
    <row r="270" spans="1:4" x14ac:dyDescent="0.3">
      <c r="A270" s="19" t="s">
        <v>1</v>
      </c>
      <c r="B270" s="42" t="s">
        <v>108</v>
      </c>
      <c r="C270" s="40">
        <v>165883.84</v>
      </c>
      <c r="D270" s="20">
        <v>0.137155</v>
      </c>
    </row>
    <row r="271" spans="1:4" x14ac:dyDescent="0.3">
      <c r="A271" s="19" t="s">
        <v>2</v>
      </c>
      <c r="B271" s="42" t="s">
        <v>108</v>
      </c>
      <c r="C271" s="40">
        <v>140762.16</v>
      </c>
      <c r="D271" s="20">
        <v>0.116384</v>
      </c>
    </row>
    <row r="272" spans="1:4" x14ac:dyDescent="0.3">
      <c r="A272" s="19" t="s">
        <v>4</v>
      </c>
      <c r="B272" s="42" t="s">
        <v>108</v>
      </c>
      <c r="C272" s="40">
        <v>94025.86</v>
      </c>
      <c r="D272" s="20">
        <v>7.7742000000000006E-2</v>
      </c>
    </row>
    <row r="273" spans="1:4" x14ac:dyDescent="0.3">
      <c r="A273" s="19" t="s">
        <v>8</v>
      </c>
      <c r="B273" s="42" t="s">
        <v>108</v>
      </c>
      <c r="C273" s="40">
        <v>93788.06</v>
      </c>
      <c r="D273" s="20">
        <v>7.7545000000000003E-2</v>
      </c>
    </row>
    <row r="274" spans="1:4" x14ac:dyDescent="0.3">
      <c r="A274" s="19" t="s">
        <v>9</v>
      </c>
      <c r="B274" s="42" t="s">
        <v>108</v>
      </c>
      <c r="C274" s="40">
        <v>73542.92</v>
      </c>
      <c r="D274" s="20">
        <v>6.0805999999999999E-2</v>
      </c>
    </row>
    <row r="275" spans="1:4" x14ac:dyDescent="0.3">
      <c r="A275" s="19" t="s">
        <v>11</v>
      </c>
      <c r="B275" s="42" t="s">
        <v>108</v>
      </c>
      <c r="C275" s="40">
        <v>47425.440000000002</v>
      </c>
      <c r="D275" s="20">
        <v>3.9211999999999997E-2</v>
      </c>
    </row>
    <row r="276" spans="1:4" x14ac:dyDescent="0.3">
      <c r="A276" s="19" t="s">
        <v>12</v>
      </c>
      <c r="B276" s="42" t="s">
        <v>108</v>
      </c>
      <c r="C276" s="40">
        <v>45756.59</v>
      </c>
      <c r="D276" s="20">
        <v>3.7831999999999998E-2</v>
      </c>
    </row>
    <row r="277" spans="1:4" x14ac:dyDescent="0.3">
      <c r="A277" s="19" t="s">
        <v>14</v>
      </c>
      <c r="B277" s="42" t="s">
        <v>108</v>
      </c>
      <c r="C277" s="40">
        <v>45137.66</v>
      </c>
      <c r="D277" s="20">
        <v>3.7319999999999999E-2</v>
      </c>
    </row>
    <row r="278" spans="1:4" x14ac:dyDescent="0.3">
      <c r="A278" s="19" t="s">
        <v>17</v>
      </c>
      <c r="B278" s="42" t="s">
        <v>108</v>
      </c>
      <c r="C278" s="40">
        <v>41960.82</v>
      </c>
      <c r="D278" s="20">
        <v>3.4693999999999996E-2</v>
      </c>
    </row>
    <row r="279" spans="1:4" x14ac:dyDescent="0.3">
      <c r="A279" s="19" t="s">
        <v>5</v>
      </c>
      <c r="B279" s="42" t="s">
        <v>108</v>
      </c>
      <c r="C279" s="40">
        <v>18836.52</v>
      </c>
      <c r="D279" s="20">
        <v>1.5573999999999999E-2</v>
      </c>
    </row>
    <row r="280" spans="1:4" x14ac:dyDescent="0.3">
      <c r="A280" s="19" t="s">
        <v>16</v>
      </c>
      <c r="B280" s="42" t="s">
        <v>108</v>
      </c>
      <c r="C280" s="40">
        <v>16317.14</v>
      </c>
      <c r="D280" s="20">
        <v>1.3491E-2</v>
      </c>
    </row>
    <row r="281" spans="1:4" x14ac:dyDescent="0.3">
      <c r="A281" s="19" t="s">
        <v>6</v>
      </c>
      <c r="B281" s="42" t="s">
        <v>108</v>
      </c>
      <c r="C281" s="40">
        <v>13287.53</v>
      </c>
      <c r="D281" s="20">
        <v>1.0986000000000001E-2</v>
      </c>
    </row>
    <row r="282" spans="1:4" x14ac:dyDescent="0.3">
      <c r="A282" s="19" t="s">
        <v>10</v>
      </c>
      <c r="B282" s="42" t="s">
        <v>108</v>
      </c>
      <c r="C282" s="40">
        <v>12561.35</v>
      </c>
      <c r="D282" s="20">
        <v>1.0385999999999999E-2</v>
      </c>
    </row>
    <row r="283" spans="1:4" x14ac:dyDescent="0.3">
      <c r="A283" s="19" t="s">
        <v>26</v>
      </c>
      <c r="B283" s="42" t="s">
        <v>108</v>
      </c>
      <c r="C283" s="40">
        <v>11818.31</v>
      </c>
      <c r="D283" s="20">
        <v>9.7719999999999994E-3</v>
      </c>
    </row>
    <row r="284" spans="1:4" x14ac:dyDescent="0.3">
      <c r="A284" s="19" t="s">
        <v>15</v>
      </c>
      <c r="B284" s="42" t="s">
        <v>108</v>
      </c>
      <c r="C284" s="40">
        <v>11641.9</v>
      </c>
      <c r="D284" s="20">
        <v>9.6260000000000009E-3</v>
      </c>
    </row>
    <row r="285" spans="1:4" x14ac:dyDescent="0.3">
      <c r="A285" s="19" t="s">
        <v>24</v>
      </c>
      <c r="B285" s="42" t="s">
        <v>108</v>
      </c>
      <c r="C285" s="40">
        <v>10450.69</v>
      </c>
      <c r="D285" s="20">
        <v>8.6409999999999994E-3</v>
      </c>
    </row>
    <row r="286" spans="1:4" x14ac:dyDescent="0.3">
      <c r="A286" s="19" t="s">
        <v>130</v>
      </c>
      <c r="B286" s="42" t="s">
        <v>108</v>
      </c>
      <c r="C286" s="40">
        <v>9070.5499999999993</v>
      </c>
      <c r="D286" s="20">
        <v>7.4999999999999997E-3</v>
      </c>
    </row>
    <row r="287" spans="1:4" x14ac:dyDescent="0.3">
      <c r="A287" s="19" t="s">
        <v>29</v>
      </c>
      <c r="B287" s="42" t="s">
        <v>108</v>
      </c>
      <c r="C287" s="40">
        <v>7198.82</v>
      </c>
      <c r="D287" s="20">
        <v>5.9519999999999998E-3</v>
      </c>
    </row>
    <row r="288" spans="1:4" x14ac:dyDescent="0.3">
      <c r="A288" s="19" t="s">
        <v>18</v>
      </c>
      <c r="B288" s="42" t="s">
        <v>108</v>
      </c>
      <c r="C288" s="40">
        <v>5407.68</v>
      </c>
      <c r="D288" s="20">
        <v>4.4710000000000001E-3</v>
      </c>
    </row>
    <row r="289" spans="1:4" x14ac:dyDescent="0.3">
      <c r="A289" s="19" t="s">
        <v>34</v>
      </c>
      <c r="B289" s="42" t="s">
        <v>108</v>
      </c>
      <c r="C289" s="40">
        <v>5121.1899999999996</v>
      </c>
      <c r="D289" s="20">
        <v>4.2339999999999999E-3</v>
      </c>
    </row>
    <row r="290" spans="1:4" x14ac:dyDescent="0.3">
      <c r="A290" s="19" t="s">
        <v>40</v>
      </c>
      <c r="B290" s="42" t="s">
        <v>108</v>
      </c>
      <c r="C290" s="40">
        <v>4229.1099999999997</v>
      </c>
      <c r="D290" s="20">
        <v>3.4970000000000001E-3</v>
      </c>
    </row>
    <row r="291" spans="1:4" x14ac:dyDescent="0.3">
      <c r="A291" s="19" t="s">
        <v>49</v>
      </c>
      <c r="B291" s="42" t="s">
        <v>108</v>
      </c>
      <c r="C291" s="40">
        <v>3921.06</v>
      </c>
      <c r="D291" s="20">
        <v>3.2420000000000001E-3</v>
      </c>
    </row>
    <row r="292" spans="1:4" x14ac:dyDescent="0.3">
      <c r="A292" s="19" t="s">
        <v>41</v>
      </c>
      <c r="B292" s="42" t="s">
        <v>108</v>
      </c>
      <c r="C292" s="40">
        <v>3864.6</v>
      </c>
      <c r="D292" s="20">
        <v>3.1949999999999999E-3</v>
      </c>
    </row>
    <row r="293" spans="1:4" x14ac:dyDescent="0.3">
      <c r="A293" s="19" t="s">
        <v>28</v>
      </c>
      <c r="B293" s="42" t="s">
        <v>108</v>
      </c>
      <c r="C293" s="40">
        <v>3767.41</v>
      </c>
      <c r="D293" s="20">
        <v>3.1150000000000001E-3</v>
      </c>
    </row>
    <row r="294" spans="1:4" x14ac:dyDescent="0.3">
      <c r="A294" s="19" t="s">
        <v>38</v>
      </c>
      <c r="B294" s="42" t="s">
        <v>108</v>
      </c>
      <c r="C294" s="40">
        <v>3762.8</v>
      </c>
      <c r="D294" s="20">
        <v>3.1110000000000001E-3</v>
      </c>
    </row>
    <row r="295" spans="1:4" x14ac:dyDescent="0.3">
      <c r="A295" s="19" t="s">
        <v>30</v>
      </c>
      <c r="B295" s="42" t="s">
        <v>108</v>
      </c>
      <c r="C295" s="40">
        <v>3177.78</v>
      </c>
      <c r="D295" s="20">
        <v>2.627E-3</v>
      </c>
    </row>
    <row r="296" spans="1:4" x14ac:dyDescent="0.3">
      <c r="A296" s="19" t="s">
        <v>39</v>
      </c>
      <c r="B296" s="42" t="s">
        <v>108</v>
      </c>
      <c r="C296" s="40">
        <v>2999.18</v>
      </c>
      <c r="D296" s="20">
        <v>2.48E-3</v>
      </c>
    </row>
    <row r="297" spans="1:4" x14ac:dyDescent="0.3">
      <c r="A297" s="19" t="s">
        <v>22</v>
      </c>
      <c r="B297" s="42" t="s">
        <v>108</v>
      </c>
      <c r="C297" s="40">
        <v>2417.65</v>
      </c>
      <c r="D297" s="20">
        <v>1.9989999999999999E-3</v>
      </c>
    </row>
    <row r="298" spans="1:4" x14ac:dyDescent="0.3">
      <c r="A298" s="19" t="s">
        <v>45</v>
      </c>
      <c r="B298" s="42" t="s">
        <v>108</v>
      </c>
      <c r="C298" s="40">
        <v>2350.5100000000002</v>
      </c>
      <c r="D298" s="20">
        <v>1.9430000000000001E-3</v>
      </c>
    </row>
    <row r="299" spans="1:4" x14ac:dyDescent="0.3">
      <c r="A299" s="19" t="s">
        <v>54</v>
      </c>
      <c r="B299" s="42" t="s">
        <v>108</v>
      </c>
      <c r="C299" s="40">
        <v>1832.12</v>
      </c>
      <c r="D299" s="20">
        <v>1.5149999999999999E-3</v>
      </c>
    </row>
    <row r="300" spans="1:4" x14ac:dyDescent="0.3">
      <c r="A300" s="19" t="s">
        <v>21</v>
      </c>
      <c r="B300" s="42" t="s">
        <v>108</v>
      </c>
      <c r="C300" s="40">
        <v>1827.61</v>
      </c>
      <c r="D300" s="20">
        <v>1.5110000000000002E-3</v>
      </c>
    </row>
    <row r="301" spans="1:4" x14ac:dyDescent="0.3">
      <c r="A301" s="19" t="s">
        <v>23</v>
      </c>
      <c r="B301" s="42" t="s">
        <v>108</v>
      </c>
      <c r="C301" s="40">
        <v>1583.03</v>
      </c>
      <c r="D301" s="20">
        <v>1.3089999999999998E-3</v>
      </c>
    </row>
    <row r="302" spans="1:4" x14ac:dyDescent="0.3">
      <c r="A302" s="19" t="s">
        <v>52</v>
      </c>
      <c r="B302" s="42" t="s">
        <v>108</v>
      </c>
      <c r="C302" s="40">
        <v>1293.52</v>
      </c>
      <c r="D302" s="20">
        <v>1.0689999999999999E-3</v>
      </c>
    </row>
    <row r="303" spans="1:4" x14ac:dyDescent="0.3">
      <c r="A303" s="19" t="s">
        <v>50</v>
      </c>
      <c r="B303" s="42" t="s">
        <v>108</v>
      </c>
      <c r="C303" s="40">
        <v>862.65</v>
      </c>
      <c r="D303" s="20">
        <v>7.1299999999999998E-4</v>
      </c>
    </row>
    <row r="304" spans="1:4" x14ac:dyDescent="0.3">
      <c r="A304" s="19" t="s">
        <v>63</v>
      </c>
      <c r="B304" s="42" t="s">
        <v>108</v>
      </c>
      <c r="C304" s="40">
        <v>844.32</v>
      </c>
      <c r="D304" s="20">
        <v>6.9800000000000005E-4</v>
      </c>
    </row>
    <row r="305" spans="1:4" x14ac:dyDescent="0.3">
      <c r="A305" s="19" t="s">
        <v>42</v>
      </c>
      <c r="B305" s="42" t="s">
        <v>108</v>
      </c>
      <c r="C305" s="40">
        <v>769.77</v>
      </c>
      <c r="D305" s="20">
        <v>6.3600000000000006E-4</v>
      </c>
    </row>
    <row r="306" spans="1:4" x14ac:dyDescent="0.3">
      <c r="A306" s="19" t="s">
        <v>96</v>
      </c>
      <c r="B306" s="42" t="s">
        <v>108</v>
      </c>
      <c r="C306" s="40">
        <v>761.73</v>
      </c>
      <c r="D306" s="20">
        <v>6.3000000000000003E-4</v>
      </c>
    </row>
    <row r="307" spans="1:4" x14ac:dyDescent="0.3">
      <c r="A307" s="19" t="s">
        <v>37</v>
      </c>
      <c r="B307" s="42" t="s">
        <v>108</v>
      </c>
      <c r="C307" s="40">
        <v>645.39</v>
      </c>
      <c r="D307" s="20">
        <v>5.3400000000000008E-4</v>
      </c>
    </row>
    <row r="308" spans="1:4" x14ac:dyDescent="0.3">
      <c r="A308" s="19" t="s">
        <v>134</v>
      </c>
      <c r="B308" s="42" t="s">
        <v>108</v>
      </c>
      <c r="C308" s="40">
        <v>471.47</v>
      </c>
      <c r="D308" s="20">
        <v>3.8999999999999999E-4</v>
      </c>
    </row>
    <row r="309" spans="1:4" x14ac:dyDescent="0.3">
      <c r="A309" s="19" t="s">
        <v>32</v>
      </c>
      <c r="B309" s="42" t="s">
        <v>108</v>
      </c>
      <c r="C309" s="40">
        <v>403.46</v>
      </c>
      <c r="D309" s="20">
        <v>3.3399999999999999E-4</v>
      </c>
    </row>
    <row r="310" spans="1:4" x14ac:dyDescent="0.3">
      <c r="A310" s="19" t="s">
        <v>74</v>
      </c>
      <c r="B310" s="42" t="s">
        <v>108</v>
      </c>
      <c r="C310" s="40">
        <v>338.98</v>
      </c>
      <c r="D310" s="20">
        <v>2.8000000000000003E-4</v>
      </c>
    </row>
    <row r="311" spans="1:4" x14ac:dyDescent="0.3">
      <c r="A311" s="19" t="s">
        <v>69</v>
      </c>
      <c r="B311" s="42" t="s">
        <v>108</v>
      </c>
      <c r="C311" s="40">
        <v>329.8</v>
      </c>
      <c r="D311" s="20">
        <v>2.7300000000000002E-4</v>
      </c>
    </row>
    <row r="312" spans="1:4" x14ac:dyDescent="0.3">
      <c r="A312" s="19" t="s">
        <v>55</v>
      </c>
      <c r="B312" s="42" t="s">
        <v>108</v>
      </c>
      <c r="C312" s="40">
        <v>325.56</v>
      </c>
      <c r="D312" s="20">
        <v>2.6899999999999998E-4</v>
      </c>
    </row>
    <row r="313" spans="1:4" x14ac:dyDescent="0.3">
      <c r="A313" s="19" t="s">
        <v>47</v>
      </c>
      <c r="B313" s="42" t="s">
        <v>108</v>
      </c>
      <c r="C313" s="40">
        <v>296.29000000000002</v>
      </c>
      <c r="D313" s="20">
        <v>2.4499999999999999E-4</v>
      </c>
    </row>
    <row r="314" spans="1:4" x14ac:dyDescent="0.3">
      <c r="A314" s="19" t="s">
        <v>72</v>
      </c>
      <c r="B314" s="42" t="s">
        <v>108</v>
      </c>
      <c r="C314" s="40">
        <v>246.68</v>
      </c>
      <c r="D314" s="20">
        <v>2.0400000000000003E-4</v>
      </c>
    </row>
    <row r="315" spans="1:4" x14ac:dyDescent="0.3">
      <c r="A315" s="19" t="s">
        <v>58</v>
      </c>
      <c r="B315" s="42" t="s">
        <v>108</v>
      </c>
      <c r="C315" s="40">
        <v>223.83</v>
      </c>
      <c r="D315" s="20">
        <v>1.85E-4</v>
      </c>
    </row>
    <row r="316" spans="1:4" x14ac:dyDescent="0.3">
      <c r="A316" s="19" t="s">
        <v>88</v>
      </c>
      <c r="B316" s="42" t="s">
        <v>108</v>
      </c>
      <c r="C316" s="40">
        <v>217.92</v>
      </c>
      <c r="D316" s="20">
        <v>1.7999999999999998E-4</v>
      </c>
    </row>
    <row r="317" spans="1:4" x14ac:dyDescent="0.3">
      <c r="A317" s="19" t="s">
        <v>60</v>
      </c>
      <c r="B317" s="42" t="s">
        <v>108</v>
      </c>
      <c r="C317" s="40">
        <v>177.37</v>
      </c>
      <c r="D317" s="20">
        <v>1.47E-4</v>
      </c>
    </row>
    <row r="318" spans="1:4" x14ac:dyDescent="0.3">
      <c r="A318" s="19" t="s">
        <v>57</v>
      </c>
      <c r="B318" s="42" t="s">
        <v>108</v>
      </c>
      <c r="C318" s="40">
        <v>175.5</v>
      </c>
      <c r="D318" s="20">
        <v>1.45E-4</v>
      </c>
    </row>
    <row r="319" spans="1:4" x14ac:dyDescent="0.3">
      <c r="A319" s="19" t="s">
        <v>53</v>
      </c>
      <c r="B319" s="42" t="s">
        <v>108</v>
      </c>
      <c r="C319" s="40">
        <v>173.1</v>
      </c>
      <c r="D319" s="20">
        <v>1.4300000000000001E-4</v>
      </c>
    </row>
    <row r="320" spans="1:4" x14ac:dyDescent="0.3">
      <c r="A320" s="19" t="s">
        <v>75</v>
      </c>
      <c r="B320" s="42" t="s">
        <v>108</v>
      </c>
      <c r="C320" s="40">
        <v>171.18</v>
      </c>
      <c r="D320" s="20">
        <v>1.4200000000000001E-4</v>
      </c>
    </row>
    <row r="321" spans="1:4" x14ac:dyDescent="0.3">
      <c r="A321" s="19" t="s">
        <v>67</v>
      </c>
      <c r="B321" s="42" t="s">
        <v>108</v>
      </c>
      <c r="C321" s="40">
        <v>126.84</v>
      </c>
      <c r="D321" s="20">
        <v>1.05E-4</v>
      </c>
    </row>
    <row r="322" spans="1:4" x14ac:dyDescent="0.3">
      <c r="A322" s="19" t="s">
        <v>76</v>
      </c>
      <c r="B322" s="42" t="s">
        <v>108</v>
      </c>
      <c r="C322" s="40">
        <v>123</v>
      </c>
      <c r="D322" s="20">
        <v>1.0200000000000001E-4</v>
      </c>
    </row>
    <row r="323" spans="1:4" x14ac:dyDescent="0.3">
      <c r="A323" s="19" t="s">
        <v>87</v>
      </c>
      <c r="B323" s="42" t="s">
        <v>108</v>
      </c>
      <c r="C323" s="40">
        <v>117.9</v>
      </c>
      <c r="D323" s="20">
        <v>9.7E-5</v>
      </c>
    </row>
    <row r="324" spans="1:4" x14ac:dyDescent="0.3">
      <c r="A324" s="19" t="s">
        <v>59</v>
      </c>
      <c r="B324" s="42" t="s">
        <v>108</v>
      </c>
      <c r="C324" s="40">
        <v>88.5</v>
      </c>
      <c r="D324" s="20">
        <v>7.2999999999999999E-5</v>
      </c>
    </row>
    <row r="325" spans="1:4" x14ac:dyDescent="0.3">
      <c r="A325" s="19" t="s">
        <v>79</v>
      </c>
      <c r="B325" s="42" t="s">
        <v>108</v>
      </c>
      <c r="C325" s="40">
        <v>80.64</v>
      </c>
      <c r="D325" s="20">
        <v>6.7000000000000002E-5</v>
      </c>
    </row>
    <row r="326" spans="1:4" x14ac:dyDescent="0.3">
      <c r="A326" s="19" t="s">
        <v>33</v>
      </c>
      <c r="B326" s="42" t="s">
        <v>108</v>
      </c>
      <c r="C326" s="40">
        <v>50.94</v>
      </c>
      <c r="D326" s="20">
        <v>4.1999999999999998E-5</v>
      </c>
    </row>
    <row r="327" spans="1:4" x14ac:dyDescent="0.3">
      <c r="A327" s="19" t="s">
        <v>81</v>
      </c>
      <c r="B327" s="42" t="s">
        <v>108</v>
      </c>
      <c r="C327" s="40">
        <v>49.49</v>
      </c>
      <c r="D327" s="20">
        <v>4.1E-5</v>
      </c>
    </row>
    <row r="328" spans="1:4" x14ac:dyDescent="0.3">
      <c r="A328" s="19" t="s">
        <v>71</v>
      </c>
      <c r="B328" s="42" t="s">
        <v>108</v>
      </c>
      <c r="C328" s="40">
        <v>44.28</v>
      </c>
      <c r="D328" s="20">
        <v>3.7000000000000005E-5</v>
      </c>
    </row>
    <row r="329" spans="1:4" x14ac:dyDescent="0.3">
      <c r="A329" s="19" t="s">
        <v>135</v>
      </c>
      <c r="B329" s="42" t="s">
        <v>108</v>
      </c>
      <c r="C329" s="40">
        <v>41.02</v>
      </c>
      <c r="D329" s="20">
        <v>3.4E-5</v>
      </c>
    </row>
    <row r="330" spans="1:4" x14ac:dyDescent="0.3">
      <c r="A330" s="19" t="s">
        <v>133</v>
      </c>
      <c r="B330" s="42" t="s">
        <v>108</v>
      </c>
      <c r="C330" s="40">
        <v>40.75</v>
      </c>
      <c r="D330" s="20">
        <v>3.4E-5</v>
      </c>
    </row>
    <row r="331" spans="1:4" x14ac:dyDescent="0.3">
      <c r="A331" s="19" t="s">
        <v>62</v>
      </c>
      <c r="B331" s="42" t="s">
        <v>108</v>
      </c>
      <c r="C331" s="40">
        <v>30.8</v>
      </c>
      <c r="D331" s="20">
        <v>2.5000000000000001E-5</v>
      </c>
    </row>
    <row r="332" spans="1:4" x14ac:dyDescent="0.3">
      <c r="A332" s="19" t="s">
        <v>93</v>
      </c>
      <c r="B332" s="42" t="s">
        <v>108</v>
      </c>
      <c r="C332" s="40">
        <v>28.31</v>
      </c>
      <c r="D332" s="20">
        <v>2.3E-5</v>
      </c>
    </row>
    <row r="333" spans="1:4" x14ac:dyDescent="0.3">
      <c r="A333" s="19" t="s">
        <v>84</v>
      </c>
      <c r="B333" s="42" t="s">
        <v>108</v>
      </c>
      <c r="C333" s="40">
        <v>23.27</v>
      </c>
      <c r="D333" s="20">
        <v>1.9000000000000001E-5</v>
      </c>
    </row>
    <row r="334" spans="1:4" x14ac:dyDescent="0.3">
      <c r="A334" s="19" t="s">
        <v>98</v>
      </c>
      <c r="B334" s="42" t="s">
        <v>108</v>
      </c>
      <c r="C334" s="40">
        <v>17.940000000000001</v>
      </c>
      <c r="D334" s="20">
        <v>1.5E-5</v>
      </c>
    </row>
    <row r="335" spans="1:4" x14ac:dyDescent="0.3">
      <c r="A335" s="19" t="s">
        <v>85</v>
      </c>
      <c r="B335" s="42" t="s">
        <v>108</v>
      </c>
      <c r="C335" s="40">
        <v>16.59</v>
      </c>
      <c r="D335" s="20">
        <v>1.4E-5</v>
      </c>
    </row>
    <row r="336" spans="1:4" x14ac:dyDescent="0.3">
      <c r="A336" s="19" t="s">
        <v>83</v>
      </c>
      <c r="B336" s="42" t="s">
        <v>108</v>
      </c>
      <c r="C336" s="40">
        <v>3.4</v>
      </c>
      <c r="D336" s="20">
        <v>2.9999999999999997E-6</v>
      </c>
    </row>
    <row r="337" spans="1:4" x14ac:dyDescent="0.3">
      <c r="A337" s="41" t="s">
        <v>0</v>
      </c>
      <c r="B337" s="42" t="s">
        <v>109</v>
      </c>
      <c r="C337" s="40">
        <v>267056.73</v>
      </c>
      <c r="D337" s="20">
        <v>0.22031199999999998</v>
      </c>
    </row>
    <row r="338" spans="1:4" x14ac:dyDescent="0.3">
      <c r="A338" s="41" t="s">
        <v>1</v>
      </c>
      <c r="B338" s="42" t="s">
        <v>109</v>
      </c>
      <c r="C338" s="40">
        <v>215465.45</v>
      </c>
      <c r="D338" s="20">
        <v>0.17775099999999999</v>
      </c>
    </row>
    <row r="339" spans="1:4" x14ac:dyDescent="0.3">
      <c r="A339" s="41" t="s">
        <v>2</v>
      </c>
      <c r="B339" s="42" t="s">
        <v>109</v>
      </c>
      <c r="C339" s="40">
        <v>142451.74</v>
      </c>
      <c r="D339" s="20">
        <v>0.117518</v>
      </c>
    </row>
    <row r="340" spans="1:4" x14ac:dyDescent="0.3">
      <c r="A340" s="41" t="s">
        <v>8</v>
      </c>
      <c r="B340" s="42" t="s">
        <v>109</v>
      </c>
      <c r="C340" s="40">
        <v>105447.12</v>
      </c>
      <c r="D340" s="20">
        <v>8.6989999999999998E-2</v>
      </c>
    </row>
    <row r="341" spans="1:4" x14ac:dyDescent="0.3">
      <c r="A341" s="41" t="s">
        <v>4</v>
      </c>
      <c r="B341" s="42" t="s">
        <v>109</v>
      </c>
      <c r="C341" s="40">
        <v>74161.64</v>
      </c>
      <c r="D341" s="20">
        <v>6.1180999999999999E-2</v>
      </c>
    </row>
    <row r="342" spans="1:4" x14ac:dyDescent="0.3">
      <c r="A342" s="41" t="s">
        <v>9</v>
      </c>
      <c r="B342" s="42" t="s">
        <v>109</v>
      </c>
      <c r="C342" s="40">
        <v>53076.85</v>
      </c>
      <c r="D342" s="20">
        <v>4.3785999999999999E-2</v>
      </c>
    </row>
    <row r="343" spans="1:4" x14ac:dyDescent="0.3">
      <c r="A343" s="41" t="s">
        <v>12</v>
      </c>
      <c r="B343" s="42" t="s">
        <v>109</v>
      </c>
      <c r="C343" s="40">
        <v>37917.599999999999</v>
      </c>
      <c r="D343" s="20">
        <v>3.1280999999999996E-2</v>
      </c>
    </row>
    <row r="344" spans="1:4" x14ac:dyDescent="0.3">
      <c r="A344" s="41" t="s">
        <v>14</v>
      </c>
      <c r="B344" s="42" t="s">
        <v>109</v>
      </c>
      <c r="C344" s="40">
        <v>36980.11</v>
      </c>
      <c r="D344" s="20">
        <v>3.0506999999999999E-2</v>
      </c>
    </row>
    <row r="345" spans="1:4" x14ac:dyDescent="0.3">
      <c r="A345" s="41" t="s">
        <v>16</v>
      </c>
      <c r="B345" s="42" t="s">
        <v>109</v>
      </c>
      <c r="C345" s="40">
        <v>36194.46</v>
      </c>
      <c r="D345" s="20">
        <v>2.9859E-2</v>
      </c>
    </row>
    <row r="346" spans="1:4" x14ac:dyDescent="0.3">
      <c r="A346" s="41" t="s">
        <v>17</v>
      </c>
      <c r="B346" s="42" t="s">
        <v>109</v>
      </c>
      <c r="C346" s="40">
        <v>35710.730000000003</v>
      </c>
      <c r="D346" s="20">
        <v>2.946E-2</v>
      </c>
    </row>
    <row r="347" spans="1:4" x14ac:dyDescent="0.3">
      <c r="A347" s="41" t="s">
        <v>11</v>
      </c>
      <c r="B347" s="42" t="s">
        <v>109</v>
      </c>
      <c r="C347" s="40">
        <v>32448.73</v>
      </c>
      <c r="D347" s="20">
        <v>2.6768999999999998E-2</v>
      </c>
    </row>
    <row r="348" spans="1:4" x14ac:dyDescent="0.3">
      <c r="A348" s="41" t="s">
        <v>5</v>
      </c>
      <c r="B348" s="42" t="s">
        <v>109</v>
      </c>
      <c r="C348" s="40">
        <v>26548.19</v>
      </c>
      <c r="D348" s="20">
        <v>2.1901E-2</v>
      </c>
    </row>
    <row r="349" spans="1:4" x14ac:dyDescent="0.3">
      <c r="A349" s="41" t="s">
        <v>15</v>
      </c>
      <c r="B349" s="42" t="s">
        <v>109</v>
      </c>
      <c r="C349" s="40">
        <v>16431.82</v>
      </c>
      <c r="D349" s="20">
        <v>1.3555999999999999E-2</v>
      </c>
    </row>
    <row r="350" spans="1:4" x14ac:dyDescent="0.3">
      <c r="A350" s="41" t="s">
        <v>10</v>
      </c>
      <c r="B350" s="42" t="s">
        <v>109</v>
      </c>
      <c r="C350" s="40">
        <v>15694.48</v>
      </c>
      <c r="D350" s="20">
        <v>1.2947E-2</v>
      </c>
    </row>
    <row r="351" spans="1:4" x14ac:dyDescent="0.3">
      <c r="A351" s="41" t="s">
        <v>30</v>
      </c>
      <c r="B351" s="42" t="s">
        <v>109</v>
      </c>
      <c r="C351" s="40">
        <v>15088.76</v>
      </c>
      <c r="D351" s="20">
        <v>1.2447999999999999E-2</v>
      </c>
    </row>
    <row r="352" spans="1:4" x14ac:dyDescent="0.3">
      <c r="A352" s="41" t="s">
        <v>6</v>
      </c>
      <c r="B352" s="42" t="s">
        <v>109</v>
      </c>
      <c r="C352" s="40">
        <v>12341.11</v>
      </c>
      <c r="D352" s="20">
        <v>1.0181000000000001E-2</v>
      </c>
    </row>
    <row r="353" spans="1:4" x14ac:dyDescent="0.3">
      <c r="A353" s="41" t="s">
        <v>26</v>
      </c>
      <c r="B353" s="42" t="s">
        <v>109</v>
      </c>
      <c r="C353" s="40">
        <v>10382.44</v>
      </c>
      <c r="D353" s="20">
        <v>8.5649999999999997E-3</v>
      </c>
    </row>
    <row r="354" spans="1:4" x14ac:dyDescent="0.3">
      <c r="A354" s="41" t="s">
        <v>130</v>
      </c>
      <c r="B354" s="42" t="s">
        <v>109</v>
      </c>
      <c r="C354" s="40">
        <v>9606.48</v>
      </c>
      <c r="D354" s="20">
        <v>7.9249999999999998E-3</v>
      </c>
    </row>
    <row r="355" spans="1:4" x14ac:dyDescent="0.3">
      <c r="A355" s="41" t="s">
        <v>34</v>
      </c>
      <c r="B355" s="42" t="s">
        <v>109</v>
      </c>
      <c r="C355" s="40">
        <v>7837.57</v>
      </c>
      <c r="D355" s="20">
        <v>6.4659999999999995E-3</v>
      </c>
    </row>
    <row r="356" spans="1:4" x14ac:dyDescent="0.3">
      <c r="A356" s="41" t="s">
        <v>29</v>
      </c>
      <c r="B356" s="42" t="s">
        <v>109</v>
      </c>
      <c r="C356" s="40">
        <v>7757.26</v>
      </c>
      <c r="D356" s="20">
        <v>6.3990000000000002E-3</v>
      </c>
    </row>
    <row r="357" spans="1:4" x14ac:dyDescent="0.3">
      <c r="A357" s="41" t="s">
        <v>24</v>
      </c>
      <c r="B357" s="42" t="s">
        <v>109</v>
      </c>
      <c r="C357" s="40">
        <v>7409.34</v>
      </c>
      <c r="D357" s="20">
        <v>6.1119999999999994E-3</v>
      </c>
    </row>
    <row r="358" spans="1:4" x14ac:dyDescent="0.3">
      <c r="A358" s="41" t="s">
        <v>23</v>
      </c>
      <c r="B358" s="42" t="s">
        <v>109</v>
      </c>
      <c r="C358" s="40">
        <v>6200.42</v>
      </c>
      <c r="D358" s="20">
        <v>5.1149999999999998E-3</v>
      </c>
    </row>
    <row r="359" spans="1:4" x14ac:dyDescent="0.3">
      <c r="A359" s="41" t="s">
        <v>41</v>
      </c>
      <c r="B359" s="42" t="s">
        <v>109</v>
      </c>
      <c r="C359" s="40">
        <v>5374.13</v>
      </c>
      <c r="D359" s="20">
        <v>4.4330000000000003E-3</v>
      </c>
    </row>
    <row r="360" spans="1:4" x14ac:dyDescent="0.3">
      <c r="A360" s="41" t="s">
        <v>40</v>
      </c>
      <c r="B360" s="42" t="s">
        <v>109</v>
      </c>
      <c r="C360" s="40">
        <v>4986.3500000000004</v>
      </c>
      <c r="D360" s="20">
        <v>4.1139999999999996E-3</v>
      </c>
    </row>
    <row r="361" spans="1:4" x14ac:dyDescent="0.3">
      <c r="A361" s="41" t="s">
        <v>38</v>
      </c>
      <c r="B361" s="42" t="s">
        <v>109</v>
      </c>
      <c r="C361" s="40">
        <v>3541.73</v>
      </c>
      <c r="D361" s="20">
        <v>2.9220000000000001E-3</v>
      </c>
    </row>
    <row r="362" spans="1:4" x14ac:dyDescent="0.3">
      <c r="A362" s="41" t="s">
        <v>54</v>
      </c>
      <c r="B362" s="42" t="s">
        <v>109</v>
      </c>
      <c r="C362" s="40">
        <v>2914.34</v>
      </c>
      <c r="D362" s="20">
        <v>2.4039999999999999E-3</v>
      </c>
    </row>
    <row r="363" spans="1:4" x14ac:dyDescent="0.3">
      <c r="A363" s="41" t="s">
        <v>18</v>
      </c>
      <c r="B363" s="42" t="s">
        <v>109</v>
      </c>
      <c r="C363" s="40">
        <v>2768.82</v>
      </c>
      <c r="D363" s="20">
        <v>2.284E-3</v>
      </c>
    </row>
    <row r="364" spans="1:4" x14ac:dyDescent="0.3">
      <c r="A364" s="41" t="s">
        <v>49</v>
      </c>
      <c r="B364" s="42" t="s">
        <v>109</v>
      </c>
      <c r="C364" s="40">
        <v>2124.7399999999998</v>
      </c>
      <c r="D364" s="20">
        <v>1.7530000000000002E-3</v>
      </c>
    </row>
    <row r="365" spans="1:4" x14ac:dyDescent="0.3">
      <c r="A365" s="41" t="s">
        <v>39</v>
      </c>
      <c r="B365" s="42" t="s">
        <v>109</v>
      </c>
      <c r="C365" s="40">
        <v>1882.07</v>
      </c>
      <c r="D365" s="20">
        <v>1.5529999999999999E-3</v>
      </c>
    </row>
    <row r="366" spans="1:4" x14ac:dyDescent="0.3">
      <c r="A366" s="41" t="s">
        <v>45</v>
      </c>
      <c r="B366" s="42" t="s">
        <v>109</v>
      </c>
      <c r="C366" s="40">
        <v>1744.43</v>
      </c>
      <c r="D366" s="20">
        <v>1.439E-3</v>
      </c>
    </row>
    <row r="367" spans="1:4" x14ac:dyDescent="0.3">
      <c r="A367" s="41" t="s">
        <v>28</v>
      </c>
      <c r="B367" s="42" t="s">
        <v>109</v>
      </c>
      <c r="C367" s="40">
        <v>1565.46</v>
      </c>
      <c r="D367" s="20">
        <v>1.2909999999999998E-3</v>
      </c>
    </row>
    <row r="368" spans="1:4" x14ac:dyDescent="0.3">
      <c r="A368" s="41" t="s">
        <v>32</v>
      </c>
      <c r="B368" s="42" t="s">
        <v>109</v>
      </c>
      <c r="C368" s="40">
        <v>1435.31</v>
      </c>
      <c r="D368" s="20">
        <v>1.1840000000000002E-3</v>
      </c>
    </row>
    <row r="369" spans="1:4" x14ac:dyDescent="0.3">
      <c r="A369" s="41" t="s">
        <v>48</v>
      </c>
      <c r="B369" s="42" t="s">
        <v>109</v>
      </c>
      <c r="C369" s="40">
        <v>1176.4000000000001</v>
      </c>
      <c r="D369" s="20">
        <v>9.7000000000000005E-4</v>
      </c>
    </row>
    <row r="370" spans="1:4" x14ac:dyDescent="0.3">
      <c r="A370" s="41" t="s">
        <v>63</v>
      </c>
      <c r="B370" s="42" t="s">
        <v>109</v>
      </c>
      <c r="C370" s="40">
        <v>794.37</v>
      </c>
      <c r="D370" s="20">
        <v>6.5499999999999998E-4</v>
      </c>
    </row>
    <row r="371" spans="1:4" x14ac:dyDescent="0.3">
      <c r="A371" s="41" t="s">
        <v>50</v>
      </c>
      <c r="B371" s="42" t="s">
        <v>109</v>
      </c>
      <c r="C371" s="40">
        <v>777.71</v>
      </c>
      <c r="D371" s="20">
        <v>6.4199999999999988E-4</v>
      </c>
    </row>
    <row r="372" spans="1:4" x14ac:dyDescent="0.3">
      <c r="A372" s="41" t="s">
        <v>37</v>
      </c>
      <c r="B372" s="42" t="s">
        <v>109</v>
      </c>
      <c r="C372" s="40">
        <v>776.73</v>
      </c>
      <c r="D372" s="20">
        <v>6.4100000000000008E-4</v>
      </c>
    </row>
    <row r="373" spans="1:4" x14ac:dyDescent="0.3">
      <c r="A373" s="41" t="s">
        <v>42</v>
      </c>
      <c r="B373" s="42" t="s">
        <v>109</v>
      </c>
      <c r="C373" s="40">
        <v>731.06</v>
      </c>
      <c r="D373" s="20">
        <v>6.0300000000000002E-4</v>
      </c>
    </row>
    <row r="374" spans="1:4" x14ac:dyDescent="0.3">
      <c r="A374" s="41" t="s">
        <v>22</v>
      </c>
      <c r="B374" s="42" t="s">
        <v>109</v>
      </c>
      <c r="C374" s="40">
        <v>653.91</v>
      </c>
      <c r="D374" s="20">
        <v>5.3899999999999998E-4</v>
      </c>
    </row>
    <row r="375" spans="1:4" x14ac:dyDescent="0.3">
      <c r="A375" s="41" t="s">
        <v>47</v>
      </c>
      <c r="B375" s="42" t="s">
        <v>109</v>
      </c>
      <c r="C375" s="40">
        <v>648.66</v>
      </c>
      <c r="D375" s="20">
        <v>5.3499999999999999E-4</v>
      </c>
    </row>
    <row r="376" spans="1:4" x14ac:dyDescent="0.3">
      <c r="A376" s="41" t="s">
        <v>52</v>
      </c>
      <c r="B376" s="42" t="s">
        <v>109</v>
      </c>
      <c r="C376" s="40">
        <v>606.13</v>
      </c>
      <c r="D376" s="20">
        <v>5.0000000000000001E-4</v>
      </c>
    </row>
    <row r="377" spans="1:4" x14ac:dyDescent="0.3">
      <c r="A377" s="41" t="s">
        <v>69</v>
      </c>
      <c r="B377" s="42" t="s">
        <v>109</v>
      </c>
      <c r="C377" s="40">
        <v>522.04999999999995</v>
      </c>
      <c r="D377" s="20">
        <v>4.3100000000000001E-4</v>
      </c>
    </row>
    <row r="378" spans="1:4" x14ac:dyDescent="0.3">
      <c r="A378" s="41" t="s">
        <v>56</v>
      </c>
      <c r="B378" s="42" t="s">
        <v>109</v>
      </c>
      <c r="C378" s="40">
        <v>503.73</v>
      </c>
      <c r="D378" s="20">
        <v>4.1599999999999997E-4</v>
      </c>
    </row>
    <row r="379" spans="1:4" x14ac:dyDescent="0.3">
      <c r="A379" s="41" t="s">
        <v>60</v>
      </c>
      <c r="B379" s="42" t="s">
        <v>109</v>
      </c>
      <c r="C379" s="40">
        <v>489.73</v>
      </c>
      <c r="D379" s="20">
        <v>4.0400000000000001E-4</v>
      </c>
    </row>
    <row r="380" spans="1:4" x14ac:dyDescent="0.3">
      <c r="A380" s="41" t="s">
        <v>33</v>
      </c>
      <c r="B380" s="42" t="s">
        <v>109</v>
      </c>
      <c r="C380" s="40">
        <v>472.76</v>
      </c>
      <c r="D380" s="20">
        <v>3.8999999999999999E-4</v>
      </c>
    </row>
    <row r="381" spans="1:4" x14ac:dyDescent="0.3">
      <c r="A381" s="41" t="s">
        <v>62</v>
      </c>
      <c r="B381" s="42" t="s">
        <v>109</v>
      </c>
      <c r="C381" s="40">
        <v>422.62</v>
      </c>
      <c r="D381" s="20">
        <v>3.4900000000000003E-4</v>
      </c>
    </row>
    <row r="382" spans="1:4" x14ac:dyDescent="0.3">
      <c r="A382" s="41" t="s">
        <v>67</v>
      </c>
      <c r="B382" s="42" t="s">
        <v>109</v>
      </c>
      <c r="C382" s="40">
        <v>415.56</v>
      </c>
      <c r="D382" s="20">
        <v>3.4299999999999999E-4</v>
      </c>
    </row>
    <row r="383" spans="1:4" x14ac:dyDescent="0.3">
      <c r="A383" s="41" t="s">
        <v>58</v>
      </c>
      <c r="B383" s="42" t="s">
        <v>109</v>
      </c>
      <c r="C383" s="40">
        <v>365.48</v>
      </c>
      <c r="D383" s="20">
        <v>3.0200000000000002E-4</v>
      </c>
    </row>
    <row r="384" spans="1:4" x14ac:dyDescent="0.3">
      <c r="A384" s="41" t="s">
        <v>74</v>
      </c>
      <c r="B384" s="42" t="s">
        <v>109</v>
      </c>
      <c r="C384" s="40">
        <v>343.31</v>
      </c>
      <c r="D384" s="20">
        <v>2.8299999999999999E-4</v>
      </c>
    </row>
    <row r="385" spans="1:4" x14ac:dyDescent="0.3">
      <c r="A385" s="41" t="s">
        <v>72</v>
      </c>
      <c r="B385" s="42" t="s">
        <v>109</v>
      </c>
      <c r="C385" s="40">
        <v>335.48</v>
      </c>
      <c r="D385" s="20">
        <v>2.7700000000000001E-4</v>
      </c>
    </row>
    <row r="386" spans="1:4" x14ac:dyDescent="0.3">
      <c r="A386" s="41" t="s">
        <v>21</v>
      </c>
      <c r="B386" s="42" t="s">
        <v>109</v>
      </c>
      <c r="C386" s="40">
        <v>295.2</v>
      </c>
      <c r="D386" s="20">
        <v>2.4400000000000002E-4</v>
      </c>
    </row>
    <row r="387" spans="1:4" x14ac:dyDescent="0.3">
      <c r="A387" s="41" t="s">
        <v>57</v>
      </c>
      <c r="B387" s="42" t="s">
        <v>109</v>
      </c>
      <c r="C387" s="40">
        <v>243</v>
      </c>
      <c r="D387" s="20">
        <v>2.0000000000000001E-4</v>
      </c>
    </row>
    <row r="388" spans="1:4" x14ac:dyDescent="0.3">
      <c r="A388" s="41" t="s">
        <v>88</v>
      </c>
      <c r="B388" s="42" t="s">
        <v>109</v>
      </c>
      <c r="C388" s="40">
        <v>234.31</v>
      </c>
      <c r="D388" s="20">
        <v>1.93E-4</v>
      </c>
    </row>
    <row r="389" spans="1:4" x14ac:dyDescent="0.3">
      <c r="A389" s="41" t="s">
        <v>53</v>
      </c>
      <c r="B389" s="42" t="s">
        <v>109</v>
      </c>
      <c r="C389" s="40">
        <v>148.34</v>
      </c>
      <c r="D389" s="20">
        <v>1.2200000000000001E-4</v>
      </c>
    </row>
    <row r="390" spans="1:4" x14ac:dyDescent="0.3">
      <c r="A390" s="41" t="s">
        <v>135</v>
      </c>
      <c r="B390" s="42" t="s">
        <v>109</v>
      </c>
      <c r="C390" s="40">
        <v>78.48</v>
      </c>
      <c r="D390" s="20">
        <v>6.4999999999999994E-5</v>
      </c>
    </row>
    <row r="391" spans="1:4" x14ac:dyDescent="0.3">
      <c r="A391" s="41" t="s">
        <v>59</v>
      </c>
      <c r="B391" s="42" t="s">
        <v>109</v>
      </c>
      <c r="C391" s="40">
        <v>75.540000000000006</v>
      </c>
      <c r="D391" s="20">
        <v>6.2000000000000003E-5</v>
      </c>
    </row>
    <row r="392" spans="1:4" x14ac:dyDescent="0.3">
      <c r="A392" s="41" t="s">
        <v>82</v>
      </c>
      <c r="B392" s="42" t="s">
        <v>109</v>
      </c>
      <c r="C392" s="40">
        <v>75.27</v>
      </c>
      <c r="D392" s="20">
        <v>6.2000000000000003E-5</v>
      </c>
    </row>
    <row r="393" spans="1:4" x14ac:dyDescent="0.3">
      <c r="A393" s="41" t="s">
        <v>71</v>
      </c>
      <c r="B393" s="42" t="s">
        <v>109</v>
      </c>
      <c r="C393" s="40">
        <v>74.61</v>
      </c>
      <c r="D393" s="20">
        <v>6.2000000000000003E-5</v>
      </c>
    </row>
    <row r="394" spans="1:4" x14ac:dyDescent="0.3">
      <c r="A394" s="41" t="s">
        <v>81</v>
      </c>
      <c r="B394" s="42" t="s">
        <v>109</v>
      </c>
      <c r="C394" s="40">
        <v>74.52</v>
      </c>
      <c r="D394" s="20">
        <v>6.1000000000000005E-5</v>
      </c>
    </row>
    <row r="395" spans="1:4" x14ac:dyDescent="0.3">
      <c r="A395" s="41" t="s">
        <v>79</v>
      </c>
      <c r="B395" s="42" t="s">
        <v>109</v>
      </c>
      <c r="C395" s="40">
        <v>53.38</v>
      </c>
      <c r="D395" s="20">
        <v>4.4000000000000006E-5</v>
      </c>
    </row>
    <row r="396" spans="1:4" x14ac:dyDescent="0.3">
      <c r="A396" s="41" t="s">
        <v>76</v>
      </c>
      <c r="B396" s="42" t="s">
        <v>109</v>
      </c>
      <c r="C396" s="40">
        <v>42.7</v>
      </c>
      <c r="D396" s="20">
        <v>3.5000000000000004E-5</v>
      </c>
    </row>
    <row r="397" spans="1:4" x14ac:dyDescent="0.3">
      <c r="A397" s="41" t="s">
        <v>85</v>
      </c>
      <c r="B397" s="42" t="s">
        <v>109</v>
      </c>
      <c r="C397" s="40">
        <v>31.85</v>
      </c>
      <c r="D397" s="20">
        <v>2.5999999999999998E-5</v>
      </c>
    </row>
    <row r="398" spans="1:4" x14ac:dyDescent="0.3">
      <c r="A398" s="41" t="s">
        <v>75</v>
      </c>
      <c r="B398" s="42" t="s">
        <v>109</v>
      </c>
      <c r="C398" s="40">
        <v>31.02</v>
      </c>
      <c r="D398" s="20">
        <v>2.5999999999999998E-5</v>
      </c>
    </row>
    <row r="399" spans="1:4" x14ac:dyDescent="0.3">
      <c r="A399" s="41"/>
      <c r="B399" s="42" t="s">
        <v>109</v>
      </c>
      <c r="C399" s="40">
        <v>30.2</v>
      </c>
      <c r="D399" s="20">
        <v>2.5000000000000001E-5</v>
      </c>
    </row>
    <row r="400" spans="1:4" x14ac:dyDescent="0.3">
      <c r="A400" s="41" t="s">
        <v>133</v>
      </c>
      <c r="B400" s="42" t="s">
        <v>109</v>
      </c>
      <c r="C400" s="40">
        <v>29.04</v>
      </c>
      <c r="D400" s="20">
        <v>2.3999999999999997E-5</v>
      </c>
    </row>
    <row r="401" spans="1:4" x14ac:dyDescent="0.3">
      <c r="A401" s="41" t="s">
        <v>55</v>
      </c>
      <c r="B401" s="42" t="s">
        <v>109</v>
      </c>
      <c r="C401" s="40">
        <v>28.82</v>
      </c>
      <c r="D401" s="20">
        <v>2.3999999999999997E-5</v>
      </c>
    </row>
    <row r="402" spans="1:4" x14ac:dyDescent="0.3">
      <c r="A402" s="41" t="s">
        <v>86</v>
      </c>
      <c r="B402" s="42" t="s">
        <v>109</v>
      </c>
      <c r="C402" s="40">
        <v>21.16</v>
      </c>
      <c r="D402" s="20">
        <v>1.7E-5</v>
      </c>
    </row>
    <row r="403" spans="1:4" x14ac:dyDescent="0.3">
      <c r="A403" s="41" t="s">
        <v>80</v>
      </c>
      <c r="B403" s="42" t="s">
        <v>109</v>
      </c>
      <c r="C403" s="40">
        <v>19.170000000000002</v>
      </c>
      <c r="D403" s="20">
        <v>1.5999999999999999E-5</v>
      </c>
    </row>
    <row r="404" spans="1:4" x14ac:dyDescent="0.3">
      <c r="A404" s="41" t="s">
        <v>83</v>
      </c>
      <c r="B404" s="42" t="s">
        <v>109</v>
      </c>
      <c r="C404" s="40">
        <v>5.5</v>
      </c>
      <c r="D404" s="20">
        <v>5.0000000000000004E-6</v>
      </c>
    </row>
    <row r="405" spans="1:4" x14ac:dyDescent="0.3">
      <c r="A405" s="41" t="s">
        <v>0</v>
      </c>
      <c r="B405" s="42" t="s">
        <v>110</v>
      </c>
      <c r="C405" s="40">
        <v>398765.49</v>
      </c>
      <c r="D405" s="20">
        <v>0.320436</v>
      </c>
    </row>
    <row r="406" spans="1:4" x14ac:dyDescent="0.3">
      <c r="A406" s="41" t="s">
        <v>1</v>
      </c>
      <c r="B406" s="42" t="s">
        <v>110</v>
      </c>
      <c r="C406" s="40">
        <v>194400.88</v>
      </c>
      <c r="D406" s="20">
        <v>0.15621499999999999</v>
      </c>
    </row>
    <row r="407" spans="1:4" x14ac:dyDescent="0.3">
      <c r="A407" s="41" t="s">
        <v>2</v>
      </c>
      <c r="B407" s="42" t="s">
        <v>110</v>
      </c>
      <c r="C407" s="40">
        <v>106738.53</v>
      </c>
      <c r="D407" s="20">
        <v>8.5772000000000001E-2</v>
      </c>
    </row>
    <row r="408" spans="1:4" x14ac:dyDescent="0.3">
      <c r="A408" s="41" t="s">
        <v>8</v>
      </c>
      <c r="B408" s="42" t="s">
        <v>110</v>
      </c>
      <c r="C408" s="40">
        <v>81419.360000000001</v>
      </c>
      <c r="D408" s="20">
        <v>6.5425999999999998E-2</v>
      </c>
    </row>
    <row r="409" spans="1:4" x14ac:dyDescent="0.3">
      <c r="A409" s="41" t="s">
        <v>4</v>
      </c>
      <c r="B409" s="42" t="s">
        <v>110</v>
      </c>
      <c r="C409" s="40">
        <v>61915.12</v>
      </c>
      <c r="D409" s="20">
        <v>4.9752999999999999E-2</v>
      </c>
    </row>
    <row r="410" spans="1:4" x14ac:dyDescent="0.3">
      <c r="A410" s="41" t="s">
        <v>9</v>
      </c>
      <c r="B410" s="42" t="s">
        <v>110</v>
      </c>
      <c r="C410" s="40">
        <v>60912.66</v>
      </c>
      <c r="D410" s="20">
        <v>4.8947999999999998E-2</v>
      </c>
    </row>
    <row r="411" spans="1:4" x14ac:dyDescent="0.3">
      <c r="A411" s="41" t="s">
        <v>12</v>
      </c>
      <c r="B411" s="42" t="s">
        <v>110</v>
      </c>
      <c r="C411" s="40">
        <v>44292.86</v>
      </c>
      <c r="D411" s="20">
        <v>3.5591999999999999E-2</v>
      </c>
    </row>
    <row r="412" spans="1:4" x14ac:dyDescent="0.3">
      <c r="A412" s="41" t="s">
        <v>6</v>
      </c>
      <c r="B412" s="42" t="s">
        <v>110</v>
      </c>
      <c r="C412" s="40">
        <v>37835.360000000001</v>
      </c>
      <c r="D412" s="20">
        <v>3.0402999999999999E-2</v>
      </c>
    </row>
    <row r="413" spans="1:4" x14ac:dyDescent="0.3">
      <c r="A413" s="41" t="s">
        <v>5</v>
      </c>
      <c r="B413" s="42" t="s">
        <v>110</v>
      </c>
      <c r="C413" s="40">
        <v>35853.94</v>
      </c>
      <c r="D413" s="20">
        <v>2.8811E-2</v>
      </c>
    </row>
    <row r="414" spans="1:4" x14ac:dyDescent="0.3">
      <c r="A414" s="41" t="s">
        <v>11</v>
      </c>
      <c r="B414" s="42" t="s">
        <v>110</v>
      </c>
      <c r="C414" s="40">
        <v>31968.43</v>
      </c>
      <c r="D414" s="20">
        <v>2.5689000000000003E-2</v>
      </c>
    </row>
    <row r="415" spans="1:4" x14ac:dyDescent="0.3">
      <c r="A415" s="41" t="s">
        <v>14</v>
      </c>
      <c r="B415" s="42" t="s">
        <v>110</v>
      </c>
      <c r="C415" s="40">
        <v>29240.400000000001</v>
      </c>
      <c r="D415" s="20">
        <v>2.3497000000000001E-2</v>
      </c>
    </row>
    <row r="416" spans="1:4" x14ac:dyDescent="0.3">
      <c r="A416" s="41" t="s">
        <v>17</v>
      </c>
      <c r="B416" s="42" t="s">
        <v>110</v>
      </c>
      <c r="C416" s="40">
        <v>24072.15</v>
      </c>
      <c r="D416" s="20">
        <v>1.9344E-2</v>
      </c>
    </row>
    <row r="417" spans="1:4" x14ac:dyDescent="0.3">
      <c r="A417" s="41" t="s">
        <v>15</v>
      </c>
      <c r="B417" s="42" t="s">
        <v>110</v>
      </c>
      <c r="C417" s="40">
        <v>16112.27</v>
      </c>
      <c r="D417" s="20">
        <v>1.2947E-2</v>
      </c>
    </row>
    <row r="418" spans="1:4" x14ac:dyDescent="0.3">
      <c r="A418" s="41" t="s">
        <v>10</v>
      </c>
      <c r="B418" s="42" t="s">
        <v>110</v>
      </c>
      <c r="C418" s="40">
        <v>15641.75</v>
      </c>
      <c r="D418" s="20">
        <v>1.2568999999999999E-2</v>
      </c>
    </row>
    <row r="419" spans="1:4" x14ac:dyDescent="0.3">
      <c r="A419" s="41" t="s">
        <v>16</v>
      </c>
      <c r="B419" s="42" t="s">
        <v>110</v>
      </c>
      <c r="C419" s="40">
        <v>12298.4</v>
      </c>
      <c r="D419" s="20">
        <v>9.8829999999999994E-3</v>
      </c>
    </row>
    <row r="420" spans="1:4" x14ac:dyDescent="0.3">
      <c r="A420" s="41" t="s">
        <v>45</v>
      </c>
      <c r="B420" s="42" t="s">
        <v>110</v>
      </c>
      <c r="C420" s="40">
        <v>9343.16</v>
      </c>
      <c r="D420" s="20">
        <v>7.5079999999999999E-3</v>
      </c>
    </row>
    <row r="421" spans="1:4" x14ac:dyDescent="0.3">
      <c r="A421" s="41" t="s">
        <v>41</v>
      </c>
      <c r="B421" s="42" t="s">
        <v>110</v>
      </c>
      <c r="C421" s="40">
        <v>8084.26</v>
      </c>
      <c r="D421" s="20">
        <v>6.4959999999999992E-3</v>
      </c>
    </row>
    <row r="422" spans="1:4" x14ac:dyDescent="0.3">
      <c r="A422" s="41" t="s">
        <v>130</v>
      </c>
      <c r="B422" s="42" t="s">
        <v>110</v>
      </c>
      <c r="C422" s="40">
        <v>5483.52</v>
      </c>
      <c r="D422" s="20">
        <v>4.4060000000000002E-3</v>
      </c>
    </row>
    <row r="423" spans="1:4" x14ac:dyDescent="0.3">
      <c r="A423" s="41" t="s">
        <v>54</v>
      </c>
      <c r="B423" s="42" t="s">
        <v>110</v>
      </c>
      <c r="C423" s="40">
        <v>5419.84</v>
      </c>
      <c r="D423" s="20">
        <v>4.3550000000000004E-3</v>
      </c>
    </row>
    <row r="424" spans="1:4" x14ac:dyDescent="0.3">
      <c r="A424" s="41" t="s">
        <v>40</v>
      </c>
      <c r="B424" s="42" t="s">
        <v>110</v>
      </c>
      <c r="C424" s="40">
        <v>5175.59</v>
      </c>
      <c r="D424" s="20">
        <v>4.1589999999999995E-3</v>
      </c>
    </row>
    <row r="425" spans="1:4" x14ac:dyDescent="0.3">
      <c r="A425" s="41" t="s">
        <v>34</v>
      </c>
      <c r="B425" s="42" t="s">
        <v>110</v>
      </c>
      <c r="C425" s="40">
        <v>4978.88</v>
      </c>
      <c r="D425" s="20">
        <v>4.0010000000000002E-3</v>
      </c>
    </row>
    <row r="426" spans="1:4" x14ac:dyDescent="0.3">
      <c r="A426" s="41" t="s">
        <v>18</v>
      </c>
      <c r="B426" s="42" t="s">
        <v>110</v>
      </c>
      <c r="C426" s="40">
        <v>4903.1099999999997</v>
      </c>
      <c r="D426" s="20">
        <v>3.9399999999999999E-3</v>
      </c>
    </row>
    <row r="427" spans="1:4" x14ac:dyDescent="0.3">
      <c r="A427" s="41" t="s">
        <v>29</v>
      </c>
      <c r="B427" s="42" t="s">
        <v>110</v>
      </c>
      <c r="C427" s="40">
        <v>4748.57</v>
      </c>
      <c r="D427" s="20">
        <v>3.8159999999999999E-3</v>
      </c>
    </row>
    <row r="428" spans="1:4" x14ac:dyDescent="0.3">
      <c r="A428" s="41" t="s">
        <v>26</v>
      </c>
      <c r="B428" s="42" t="s">
        <v>110</v>
      </c>
      <c r="C428" s="40">
        <v>4381.24</v>
      </c>
      <c r="D428" s="20">
        <v>3.5210000000000003E-3</v>
      </c>
    </row>
    <row r="429" spans="1:4" x14ac:dyDescent="0.3">
      <c r="A429" s="41" t="s">
        <v>38</v>
      </c>
      <c r="B429" s="42" t="s">
        <v>110</v>
      </c>
      <c r="C429" s="40">
        <v>4135.7700000000004</v>
      </c>
      <c r="D429" s="20">
        <v>3.323E-3</v>
      </c>
    </row>
    <row r="430" spans="1:4" x14ac:dyDescent="0.3">
      <c r="A430" s="41" t="s">
        <v>27</v>
      </c>
      <c r="B430" s="42" t="s">
        <v>110</v>
      </c>
      <c r="C430" s="40">
        <v>3409.88</v>
      </c>
      <c r="D430" s="20">
        <v>2.7400000000000002E-3</v>
      </c>
    </row>
    <row r="431" spans="1:4" x14ac:dyDescent="0.3">
      <c r="A431" s="41" t="s">
        <v>64</v>
      </c>
      <c r="B431" s="42" t="s">
        <v>110</v>
      </c>
      <c r="C431" s="40">
        <v>3000.24</v>
      </c>
      <c r="D431" s="20">
        <v>2.4109999999999999E-3</v>
      </c>
    </row>
    <row r="432" spans="1:4" x14ac:dyDescent="0.3">
      <c r="A432" s="41" t="s">
        <v>30</v>
      </c>
      <c r="B432" s="42" t="s">
        <v>110</v>
      </c>
      <c r="C432" s="40">
        <v>2945.79</v>
      </c>
      <c r="D432" s="20">
        <v>2.3669999999999997E-3</v>
      </c>
    </row>
    <row r="433" spans="1:4" x14ac:dyDescent="0.3">
      <c r="A433" s="41" t="s">
        <v>48</v>
      </c>
      <c r="B433" s="42" t="s">
        <v>110</v>
      </c>
      <c r="C433" s="40">
        <v>2615.2800000000002</v>
      </c>
      <c r="D433" s="20">
        <v>2.1020000000000001E-3</v>
      </c>
    </row>
    <row r="434" spans="1:4" x14ac:dyDescent="0.3">
      <c r="A434" s="41" t="s">
        <v>39</v>
      </c>
      <c r="B434" s="42" t="s">
        <v>110</v>
      </c>
      <c r="C434" s="40">
        <v>2088.2399999999998</v>
      </c>
      <c r="D434" s="20">
        <v>1.678E-3</v>
      </c>
    </row>
    <row r="435" spans="1:4" x14ac:dyDescent="0.3">
      <c r="A435" s="41" t="s">
        <v>49</v>
      </c>
      <c r="B435" s="42" t="s">
        <v>110</v>
      </c>
      <c r="C435" s="40">
        <v>1912.47</v>
      </c>
      <c r="D435" s="20">
        <v>1.537E-3</v>
      </c>
    </row>
    <row r="436" spans="1:4" x14ac:dyDescent="0.3">
      <c r="A436" s="41" t="s">
        <v>23</v>
      </c>
      <c r="B436" s="42" t="s">
        <v>110</v>
      </c>
      <c r="C436" s="40">
        <v>1829.09</v>
      </c>
      <c r="D436" s="20">
        <v>1.47E-3</v>
      </c>
    </row>
    <row r="437" spans="1:4" x14ac:dyDescent="0.3">
      <c r="A437" s="41" t="s">
        <v>28</v>
      </c>
      <c r="B437" s="42" t="s">
        <v>110</v>
      </c>
      <c r="C437" s="40">
        <v>1768.83</v>
      </c>
      <c r="D437" s="20">
        <v>1.421E-3</v>
      </c>
    </row>
    <row r="438" spans="1:4" x14ac:dyDescent="0.3">
      <c r="A438" s="41" t="s">
        <v>32</v>
      </c>
      <c r="B438" s="42" t="s">
        <v>110</v>
      </c>
      <c r="C438" s="40">
        <v>1479.58</v>
      </c>
      <c r="D438" s="20">
        <v>1.189E-3</v>
      </c>
    </row>
    <row r="439" spans="1:4" x14ac:dyDescent="0.3">
      <c r="A439" s="41" t="s">
        <v>61</v>
      </c>
      <c r="B439" s="42" t="s">
        <v>110</v>
      </c>
      <c r="C439" s="40">
        <v>1325.29</v>
      </c>
      <c r="D439" s="20">
        <v>1.065E-3</v>
      </c>
    </row>
    <row r="440" spans="1:4" x14ac:dyDescent="0.3">
      <c r="A440" s="41" t="s">
        <v>50</v>
      </c>
      <c r="B440" s="42" t="s">
        <v>110</v>
      </c>
      <c r="C440" s="40">
        <v>1129.47</v>
      </c>
      <c r="D440" s="20">
        <v>9.0800000000000006E-4</v>
      </c>
    </row>
    <row r="441" spans="1:4" x14ac:dyDescent="0.3">
      <c r="A441" s="41" t="s">
        <v>22</v>
      </c>
      <c r="B441" s="42" t="s">
        <v>110</v>
      </c>
      <c r="C441" s="40">
        <v>992.86</v>
      </c>
      <c r="D441" s="20">
        <v>7.9799999999999999E-4</v>
      </c>
    </row>
    <row r="442" spans="1:4" x14ac:dyDescent="0.3">
      <c r="A442" s="41" t="s">
        <v>33</v>
      </c>
      <c r="B442" s="42" t="s">
        <v>110</v>
      </c>
      <c r="C442" s="40">
        <v>924.26</v>
      </c>
      <c r="D442" s="20">
        <v>7.4300000000000006E-4</v>
      </c>
    </row>
    <row r="443" spans="1:4" x14ac:dyDescent="0.3">
      <c r="A443" s="41" t="s">
        <v>24</v>
      </c>
      <c r="B443" s="42" t="s">
        <v>110</v>
      </c>
      <c r="C443" s="40">
        <v>879.84</v>
      </c>
      <c r="D443" s="20">
        <v>7.0699999999999995E-4</v>
      </c>
    </row>
    <row r="444" spans="1:4" x14ac:dyDescent="0.3">
      <c r="A444" s="41" t="s">
        <v>47</v>
      </c>
      <c r="B444" s="42" t="s">
        <v>110</v>
      </c>
      <c r="C444" s="40">
        <v>743.22</v>
      </c>
      <c r="D444" s="20">
        <v>5.9699999999999998E-4</v>
      </c>
    </row>
    <row r="445" spans="1:4" x14ac:dyDescent="0.3">
      <c r="A445" s="41" t="s">
        <v>52</v>
      </c>
      <c r="B445" s="42" t="s">
        <v>110</v>
      </c>
      <c r="C445" s="40">
        <v>739.87</v>
      </c>
      <c r="D445" s="20">
        <v>5.9499999999999993E-4</v>
      </c>
    </row>
    <row r="446" spans="1:4" x14ac:dyDescent="0.3">
      <c r="A446" s="41" t="s">
        <v>58</v>
      </c>
      <c r="B446" s="42" t="s">
        <v>110</v>
      </c>
      <c r="C446" s="40">
        <v>731.44</v>
      </c>
      <c r="D446" s="20">
        <v>5.8799999999999998E-4</v>
      </c>
    </row>
    <row r="447" spans="1:4" x14ac:dyDescent="0.3">
      <c r="A447" s="41" t="s">
        <v>55</v>
      </c>
      <c r="B447" s="42" t="s">
        <v>110</v>
      </c>
      <c r="C447" s="40">
        <v>716.31</v>
      </c>
      <c r="D447" s="20">
        <v>5.7600000000000001E-4</v>
      </c>
    </row>
    <row r="448" spans="1:4" x14ac:dyDescent="0.3">
      <c r="A448" s="41" t="s">
        <v>63</v>
      </c>
      <c r="B448" s="42" t="s">
        <v>110</v>
      </c>
      <c r="C448" s="40">
        <v>696.44</v>
      </c>
      <c r="D448" s="20">
        <v>5.6000000000000006E-4</v>
      </c>
    </row>
    <row r="449" spans="1:4" x14ac:dyDescent="0.3">
      <c r="A449" s="41" t="s">
        <v>37</v>
      </c>
      <c r="B449" s="42" t="s">
        <v>110</v>
      </c>
      <c r="C449" s="40">
        <v>569.62</v>
      </c>
      <c r="D449" s="20">
        <v>4.5800000000000002E-4</v>
      </c>
    </row>
    <row r="450" spans="1:4" x14ac:dyDescent="0.3">
      <c r="A450" s="41" t="s">
        <v>53</v>
      </c>
      <c r="B450" s="42" t="s">
        <v>110</v>
      </c>
      <c r="C450" s="40">
        <v>556.37</v>
      </c>
      <c r="D450" s="20">
        <v>4.4699999999999997E-4</v>
      </c>
    </row>
    <row r="451" spans="1:4" x14ac:dyDescent="0.3">
      <c r="A451" s="41" t="s">
        <v>69</v>
      </c>
      <c r="B451" s="42" t="s">
        <v>110</v>
      </c>
      <c r="C451" s="40">
        <v>555.08000000000004</v>
      </c>
      <c r="D451" s="20">
        <v>4.46E-4</v>
      </c>
    </row>
    <row r="452" spans="1:4" x14ac:dyDescent="0.3">
      <c r="A452" s="41" t="s">
        <v>42</v>
      </c>
      <c r="B452" s="42" t="s">
        <v>110</v>
      </c>
      <c r="C452" s="40">
        <v>525.87</v>
      </c>
      <c r="D452" s="20">
        <v>4.2299999999999998E-4</v>
      </c>
    </row>
    <row r="453" spans="1:4" x14ac:dyDescent="0.3">
      <c r="A453" s="41" t="s">
        <v>36</v>
      </c>
      <c r="B453" s="42" t="s">
        <v>110</v>
      </c>
      <c r="C453" s="40">
        <v>420</v>
      </c>
      <c r="D453" s="20">
        <v>3.3700000000000001E-4</v>
      </c>
    </row>
    <row r="454" spans="1:4" x14ac:dyDescent="0.3">
      <c r="A454" s="41" t="s">
        <v>76</v>
      </c>
      <c r="B454" s="42" t="s">
        <v>110</v>
      </c>
      <c r="C454" s="40">
        <v>383.49</v>
      </c>
      <c r="D454" s="20">
        <v>3.0800000000000001E-4</v>
      </c>
    </row>
    <row r="455" spans="1:4" x14ac:dyDescent="0.3">
      <c r="A455" s="41" t="s">
        <v>67</v>
      </c>
      <c r="B455" s="42" t="s">
        <v>110</v>
      </c>
      <c r="C455" s="40">
        <v>291.45999999999998</v>
      </c>
      <c r="D455" s="20">
        <v>2.34E-4</v>
      </c>
    </row>
    <row r="456" spans="1:4" x14ac:dyDescent="0.3">
      <c r="A456" s="41" t="s">
        <v>74</v>
      </c>
      <c r="B456" s="42" t="s">
        <v>110</v>
      </c>
      <c r="C456" s="40">
        <v>288.14</v>
      </c>
      <c r="D456" s="20">
        <v>2.3199999999999997E-4</v>
      </c>
    </row>
    <row r="457" spans="1:4" x14ac:dyDescent="0.3">
      <c r="A457" s="41" t="s">
        <v>62</v>
      </c>
      <c r="B457" s="42" t="s">
        <v>110</v>
      </c>
      <c r="C457" s="40">
        <v>266.68</v>
      </c>
      <c r="D457" s="20">
        <v>2.14E-4</v>
      </c>
    </row>
    <row r="458" spans="1:4" x14ac:dyDescent="0.3">
      <c r="A458" s="41" t="s">
        <v>87</v>
      </c>
      <c r="B458" s="42" t="s">
        <v>110</v>
      </c>
      <c r="C458" s="40">
        <v>264.39999999999998</v>
      </c>
      <c r="D458" s="20">
        <v>2.12E-4</v>
      </c>
    </row>
    <row r="459" spans="1:4" x14ac:dyDescent="0.3">
      <c r="A459" s="41" t="s">
        <v>75</v>
      </c>
      <c r="B459" s="42" t="s">
        <v>110</v>
      </c>
      <c r="C459" s="40">
        <v>224.43</v>
      </c>
      <c r="D459" s="20">
        <v>1.7999999999999998E-4</v>
      </c>
    </row>
    <row r="460" spans="1:4" x14ac:dyDescent="0.3">
      <c r="A460" s="41" t="s">
        <v>60</v>
      </c>
      <c r="B460" s="42" t="s">
        <v>110</v>
      </c>
      <c r="C460" s="40">
        <v>223.75</v>
      </c>
      <c r="D460" s="20">
        <v>1.7999999999999998E-4</v>
      </c>
    </row>
    <row r="461" spans="1:4" x14ac:dyDescent="0.3">
      <c r="A461" s="41" t="s">
        <v>21</v>
      </c>
      <c r="B461" s="42" t="s">
        <v>110</v>
      </c>
      <c r="C461" s="40">
        <v>218.78</v>
      </c>
      <c r="D461" s="20">
        <v>1.7600000000000002E-4</v>
      </c>
    </row>
    <row r="462" spans="1:4" x14ac:dyDescent="0.3">
      <c r="A462" s="41" t="s">
        <v>88</v>
      </c>
      <c r="B462" s="42" t="s">
        <v>110</v>
      </c>
      <c r="C462" s="40">
        <v>206.7</v>
      </c>
      <c r="D462" s="20">
        <v>1.66E-4</v>
      </c>
    </row>
    <row r="463" spans="1:4" x14ac:dyDescent="0.3">
      <c r="A463" s="41" t="s">
        <v>71</v>
      </c>
      <c r="B463" s="42" t="s">
        <v>110</v>
      </c>
      <c r="C463" s="40">
        <v>194.08</v>
      </c>
      <c r="D463" s="20">
        <v>1.56E-4</v>
      </c>
    </row>
    <row r="464" spans="1:4" x14ac:dyDescent="0.3">
      <c r="A464" s="41" t="s">
        <v>72</v>
      </c>
      <c r="B464" s="42" t="s">
        <v>110</v>
      </c>
      <c r="C464" s="40">
        <v>161.93</v>
      </c>
      <c r="D464" s="20">
        <v>1.2999999999999999E-4</v>
      </c>
    </row>
    <row r="465" spans="1:4" x14ac:dyDescent="0.3">
      <c r="A465" s="41" t="s">
        <v>57</v>
      </c>
      <c r="B465" s="42" t="s">
        <v>110</v>
      </c>
      <c r="C465" s="40">
        <v>148.5</v>
      </c>
      <c r="D465" s="20">
        <v>1.1900000000000001E-4</v>
      </c>
    </row>
    <row r="466" spans="1:4" x14ac:dyDescent="0.3">
      <c r="A466" s="41" t="s">
        <v>94</v>
      </c>
      <c r="B466" s="42" t="s">
        <v>110</v>
      </c>
      <c r="C466" s="40">
        <v>133.68</v>
      </c>
      <c r="D466" s="20">
        <v>1.07E-4</v>
      </c>
    </row>
    <row r="467" spans="1:4" x14ac:dyDescent="0.3">
      <c r="A467" s="41" t="s">
        <v>66</v>
      </c>
      <c r="B467" s="42" t="s">
        <v>110</v>
      </c>
      <c r="C467" s="40">
        <v>115.19</v>
      </c>
      <c r="D467" s="20">
        <v>9.2999999999999997E-5</v>
      </c>
    </row>
    <row r="468" spans="1:4" x14ac:dyDescent="0.3">
      <c r="A468" s="41" t="s">
        <v>79</v>
      </c>
      <c r="B468" s="42" t="s">
        <v>110</v>
      </c>
      <c r="C468" s="40">
        <v>105.64</v>
      </c>
      <c r="D468" s="20">
        <v>8.5000000000000006E-5</v>
      </c>
    </row>
    <row r="469" spans="1:4" x14ac:dyDescent="0.3">
      <c r="A469" s="41" t="s">
        <v>59</v>
      </c>
      <c r="B469" s="42" t="s">
        <v>110</v>
      </c>
      <c r="C469" s="40">
        <v>100.72</v>
      </c>
      <c r="D469" s="20">
        <v>8.099999999999999E-5</v>
      </c>
    </row>
    <row r="470" spans="1:4" x14ac:dyDescent="0.3">
      <c r="A470" s="41" t="s">
        <v>147</v>
      </c>
      <c r="B470" s="42" t="s">
        <v>110</v>
      </c>
      <c r="C470" s="40">
        <v>98.89</v>
      </c>
      <c r="D470" s="20">
        <v>7.9000000000000009E-5</v>
      </c>
    </row>
    <row r="471" spans="1:4" x14ac:dyDescent="0.3">
      <c r="A471" s="41" t="s">
        <v>80</v>
      </c>
      <c r="B471" s="42" t="s">
        <v>110</v>
      </c>
      <c r="C471" s="40">
        <v>91.04</v>
      </c>
      <c r="D471" s="20">
        <v>7.2999999999999999E-5</v>
      </c>
    </row>
    <row r="472" spans="1:4" x14ac:dyDescent="0.3">
      <c r="A472" s="41" t="s">
        <v>56</v>
      </c>
      <c r="B472" s="42" t="s">
        <v>110</v>
      </c>
      <c r="C472" s="40">
        <v>56.62</v>
      </c>
      <c r="D472" s="20">
        <v>4.4999999999999996E-5</v>
      </c>
    </row>
    <row r="473" spans="1:4" x14ac:dyDescent="0.3">
      <c r="A473" s="41" t="s">
        <v>85</v>
      </c>
      <c r="B473" s="42" t="s">
        <v>110</v>
      </c>
      <c r="C473" s="40">
        <v>50.76</v>
      </c>
      <c r="D473" s="20">
        <v>4.1E-5</v>
      </c>
    </row>
    <row r="474" spans="1:4" x14ac:dyDescent="0.3">
      <c r="A474" s="41" t="s">
        <v>135</v>
      </c>
      <c r="B474" s="42" t="s">
        <v>110</v>
      </c>
      <c r="C474" s="40">
        <v>48.78</v>
      </c>
      <c r="D474" s="20">
        <v>3.8999999999999999E-5</v>
      </c>
    </row>
    <row r="475" spans="1:4" x14ac:dyDescent="0.3">
      <c r="A475" s="41" t="s">
        <v>100</v>
      </c>
      <c r="B475" s="42" t="s">
        <v>110</v>
      </c>
      <c r="C475" s="40">
        <v>26.88</v>
      </c>
      <c r="D475" s="20">
        <v>2.2000000000000003E-5</v>
      </c>
    </row>
    <row r="476" spans="1:4" x14ac:dyDescent="0.3">
      <c r="A476" s="41" t="s">
        <v>82</v>
      </c>
      <c r="B476" s="42" t="s">
        <v>110</v>
      </c>
      <c r="C476" s="40">
        <v>23.82</v>
      </c>
      <c r="D476" s="20">
        <v>1.9000000000000001E-5</v>
      </c>
    </row>
    <row r="477" spans="1:4" x14ac:dyDescent="0.3">
      <c r="A477" s="41" t="s">
        <v>86</v>
      </c>
      <c r="B477" s="42" t="s">
        <v>110</v>
      </c>
      <c r="C477" s="40">
        <v>14.7</v>
      </c>
      <c r="D477" s="20">
        <v>1.1999999999999999E-5</v>
      </c>
    </row>
    <row r="478" spans="1:4" x14ac:dyDescent="0.3">
      <c r="A478" s="41" t="s">
        <v>139</v>
      </c>
      <c r="B478" s="42" t="s">
        <v>110</v>
      </c>
      <c r="C478" s="40">
        <v>14.14</v>
      </c>
      <c r="D478" s="20">
        <v>1.1000000000000001E-5</v>
      </c>
    </row>
    <row r="479" spans="1:4" x14ac:dyDescent="0.3">
      <c r="A479" s="41"/>
      <c r="B479" s="42" t="s">
        <v>110</v>
      </c>
      <c r="C479" s="40">
        <v>6.9</v>
      </c>
      <c r="D479" s="20">
        <v>5.9999999999999993E-6</v>
      </c>
    </row>
    <row r="480" spans="1:4" x14ac:dyDescent="0.3">
      <c r="A480" s="41" t="s">
        <v>81</v>
      </c>
      <c r="B480" s="42" t="s">
        <v>110</v>
      </c>
      <c r="C480" s="40">
        <v>6.8</v>
      </c>
      <c r="D480" s="20">
        <v>5.0000000000000004E-6</v>
      </c>
    </row>
    <row r="481" spans="1:4" x14ac:dyDescent="0.3">
      <c r="A481" s="41" t="s">
        <v>133</v>
      </c>
      <c r="B481" s="42" t="s">
        <v>110</v>
      </c>
      <c r="C481" s="40">
        <v>1.24</v>
      </c>
      <c r="D481" s="20">
        <v>9.9999999999999995E-7</v>
      </c>
    </row>
    <row r="482" spans="1:4" x14ac:dyDescent="0.3">
      <c r="A482" s="19" t="s">
        <v>0</v>
      </c>
      <c r="B482" s="42" t="s">
        <v>111</v>
      </c>
      <c r="C482" s="40">
        <v>169560.27</v>
      </c>
      <c r="D482" s="20">
        <v>0.15259800000000001</v>
      </c>
    </row>
    <row r="483" spans="1:4" x14ac:dyDescent="0.3">
      <c r="A483" s="19" t="s">
        <v>1</v>
      </c>
      <c r="B483" s="42" t="s">
        <v>111</v>
      </c>
      <c r="C483" s="40">
        <v>164545.16</v>
      </c>
      <c r="D483" s="20">
        <v>0.14808499999999999</v>
      </c>
    </row>
    <row r="484" spans="1:4" x14ac:dyDescent="0.3">
      <c r="A484" s="19" t="s">
        <v>2</v>
      </c>
      <c r="B484" s="42" t="s">
        <v>111</v>
      </c>
      <c r="C484" s="40">
        <v>159538.57999999999</v>
      </c>
      <c r="D484" s="20">
        <v>0.14357900000000001</v>
      </c>
    </row>
    <row r="485" spans="1:4" x14ac:dyDescent="0.3">
      <c r="A485" s="19" t="s">
        <v>4</v>
      </c>
      <c r="B485" s="42" t="s">
        <v>111</v>
      </c>
      <c r="C485" s="40">
        <v>96068.95</v>
      </c>
      <c r="D485" s="20">
        <v>8.6458999999999994E-2</v>
      </c>
    </row>
    <row r="486" spans="1:4" x14ac:dyDescent="0.3">
      <c r="A486" s="19" t="s">
        <v>8</v>
      </c>
      <c r="B486" s="42" t="s">
        <v>111</v>
      </c>
      <c r="C486" s="40">
        <v>71640.83</v>
      </c>
      <c r="D486" s="20">
        <v>6.4474000000000004E-2</v>
      </c>
    </row>
    <row r="487" spans="1:4" x14ac:dyDescent="0.3">
      <c r="A487" s="19" t="s">
        <v>9</v>
      </c>
      <c r="B487" s="42" t="s">
        <v>111</v>
      </c>
      <c r="C487" s="40">
        <v>47550.51</v>
      </c>
      <c r="D487" s="20">
        <v>4.2793999999999999E-2</v>
      </c>
    </row>
    <row r="488" spans="1:4" x14ac:dyDescent="0.3">
      <c r="A488" s="19" t="s">
        <v>10</v>
      </c>
      <c r="B488" s="42" t="s">
        <v>111</v>
      </c>
      <c r="C488" s="40">
        <v>39018.89</v>
      </c>
      <c r="D488" s="20">
        <v>3.5116000000000001E-2</v>
      </c>
    </row>
    <row r="489" spans="1:4" x14ac:dyDescent="0.3">
      <c r="A489" s="19" t="s">
        <v>11</v>
      </c>
      <c r="B489" s="42" t="s">
        <v>111</v>
      </c>
      <c r="C489" s="40">
        <v>39002.06</v>
      </c>
      <c r="D489" s="20">
        <v>3.5099999999999999E-2</v>
      </c>
    </row>
    <row r="490" spans="1:4" x14ac:dyDescent="0.3">
      <c r="A490" s="19" t="s">
        <v>5</v>
      </c>
      <c r="B490" s="42" t="s">
        <v>111</v>
      </c>
      <c r="C490" s="40">
        <v>36138.85</v>
      </c>
      <c r="D490" s="20">
        <v>3.2524000000000004E-2</v>
      </c>
    </row>
    <row r="491" spans="1:4" x14ac:dyDescent="0.3">
      <c r="A491" s="19" t="s">
        <v>6</v>
      </c>
      <c r="B491" s="42" t="s">
        <v>111</v>
      </c>
      <c r="C491" s="40">
        <v>35698.75</v>
      </c>
      <c r="D491" s="20">
        <v>3.2128000000000004E-2</v>
      </c>
    </row>
    <row r="492" spans="1:4" x14ac:dyDescent="0.3">
      <c r="A492" s="19" t="s">
        <v>14</v>
      </c>
      <c r="B492" s="42" t="s">
        <v>111</v>
      </c>
      <c r="C492" s="40">
        <v>31166.44</v>
      </c>
      <c r="D492" s="20">
        <v>2.8049000000000001E-2</v>
      </c>
    </row>
    <row r="493" spans="1:4" x14ac:dyDescent="0.3">
      <c r="A493" s="19" t="s">
        <v>12</v>
      </c>
      <c r="B493" s="42" t="s">
        <v>111</v>
      </c>
      <c r="C493" s="40">
        <v>30261.1</v>
      </c>
      <c r="D493" s="20">
        <v>2.7233999999999998E-2</v>
      </c>
    </row>
    <row r="494" spans="1:4" x14ac:dyDescent="0.3">
      <c r="A494" s="19" t="s">
        <v>21</v>
      </c>
      <c r="B494" s="42" t="s">
        <v>111</v>
      </c>
      <c r="C494" s="40">
        <v>28141.51</v>
      </c>
      <c r="D494" s="20">
        <v>2.5326000000000001E-2</v>
      </c>
    </row>
    <row r="495" spans="1:4" x14ac:dyDescent="0.3">
      <c r="A495" s="19" t="s">
        <v>17</v>
      </c>
      <c r="B495" s="42" t="s">
        <v>111</v>
      </c>
      <c r="C495" s="40">
        <v>23876.63</v>
      </c>
      <c r="D495" s="20">
        <v>2.1488E-2</v>
      </c>
    </row>
    <row r="496" spans="1:4" x14ac:dyDescent="0.3">
      <c r="A496" s="19" t="s">
        <v>36</v>
      </c>
      <c r="B496" s="42" t="s">
        <v>111</v>
      </c>
      <c r="C496" s="40">
        <v>17835.71</v>
      </c>
      <c r="D496" s="20">
        <v>1.6050999999999999E-2</v>
      </c>
    </row>
    <row r="497" spans="1:4" x14ac:dyDescent="0.3">
      <c r="A497" s="19" t="s">
        <v>24</v>
      </c>
      <c r="B497" s="42" t="s">
        <v>111</v>
      </c>
      <c r="C497" s="40">
        <v>13705.47</v>
      </c>
      <c r="D497" s="20">
        <v>1.2334000000000001E-2</v>
      </c>
    </row>
    <row r="498" spans="1:4" x14ac:dyDescent="0.3">
      <c r="A498" s="19" t="s">
        <v>16</v>
      </c>
      <c r="B498" s="42" t="s">
        <v>111</v>
      </c>
      <c r="C498" s="40">
        <v>10646.43</v>
      </c>
      <c r="D498" s="20">
        <v>9.5809999999999992E-3</v>
      </c>
    </row>
    <row r="499" spans="1:4" x14ac:dyDescent="0.3">
      <c r="A499" s="19" t="s">
        <v>18</v>
      </c>
      <c r="B499" s="42" t="s">
        <v>111</v>
      </c>
      <c r="C499" s="40">
        <v>10379.25</v>
      </c>
      <c r="D499" s="20">
        <v>9.3410000000000003E-3</v>
      </c>
    </row>
    <row r="500" spans="1:4" x14ac:dyDescent="0.3">
      <c r="A500" s="19" t="s">
        <v>15</v>
      </c>
      <c r="B500" s="42" t="s">
        <v>111</v>
      </c>
      <c r="C500" s="40">
        <v>9995.73</v>
      </c>
      <c r="D500" s="20">
        <v>8.9959999999999988E-3</v>
      </c>
    </row>
    <row r="501" spans="1:4" x14ac:dyDescent="0.3">
      <c r="A501" s="19" t="s">
        <v>27</v>
      </c>
      <c r="B501" s="42" t="s">
        <v>111</v>
      </c>
      <c r="C501" s="40">
        <v>9256.41</v>
      </c>
      <c r="D501" s="20">
        <v>8.3299999999999989E-3</v>
      </c>
    </row>
    <row r="502" spans="1:4" x14ac:dyDescent="0.3">
      <c r="A502" s="19" t="s">
        <v>38</v>
      </c>
      <c r="B502" s="42" t="s">
        <v>111</v>
      </c>
      <c r="C502" s="40">
        <v>5065.4799999999996</v>
      </c>
      <c r="D502" s="20">
        <v>4.5590000000000006E-3</v>
      </c>
    </row>
    <row r="503" spans="1:4" x14ac:dyDescent="0.3">
      <c r="A503" s="19" t="s">
        <v>54</v>
      </c>
      <c r="B503" s="42" t="s">
        <v>111</v>
      </c>
      <c r="C503" s="40">
        <v>4509.99</v>
      </c>
      <c r="D503" s="20">
        <v>4.0590000000000001E-3</v>
      </c>
    </row>
    <row r="504" spans="1:4" x14ac:dyDescent="0.3">
      <c r="A504" s="19" t="s">
        <v>23</v>
      </c>
      <c r="B504" s="42" t="s">
        <v>111</v>
      </c>
      <c r="C504" s="40">
        <v>4506.47</v>
      </c>
      <c r="D504" s="20">
        <v>4.0560000000000006E-3</v>
      </c>
    </row>
    <row r="505" spans="1:4" x14ac:dyDescent="0.3">
      <c r="A505" s="19" t="s">
        <v>45</v>
      </c>
      <c r="B505" s="42" t="s">
        <v>111</v>
      </c>
      <c r="C505" s="40">
        <v>4332.1099999999997</v>
      </c>
      <c r="D505" s="20">
        <v>3.8990000000000001E-3</v>
      </c>
    </row>
    <row r="506" spans="1:4" x14ac:dyDescent="0.3">
      <c r="A506" s="19" t="s">
        <v>30</v>
      </c>
      <c r="B506" s="42" t="s">
        <v>111</v>
      </c>
      <c r="C506" s="40">
        <v>3679.27</v>
      </c>
      <c r="D506" s="20">
        <v>3.3110000000000001E-3</v>
      </c>
    </row>
    <row r="507" spans="1:4" x14ac:dyDescent="0.3">
      <c r="A507" s="19" t="s">
        <v>41</v>
      </c>
      <c r="B507" s="42" t="s">
        <v>111</v>
      </c>
      <c r="C507" s="40">
        <v>3635.7</v>
      </c>
      <c r="D507" s="20">
        <v>3.2719999999999997E-3</v>
      </c>
    </row>
    <row r="508" spans="1:4" x14ac:dyDescent="0.3">
      <c r="A508" s="19" t="s">
        <v>29</v>
      </c>
      <c r="B508" s="42" t="s">
        <v>111</v>
      </c>
      <c r="C508" s="40">
        <v>3592.01</v>
      </c>
      <c r="D508" s="20">
        <v>3.2329999999999998E-3</v>
      </c>
    </row>
    <row r="509" spans="1:4" x14ac:dyDescent="0.3">
      <c r="A509" s="19" t="s">
        <v>40</v>
      </c>
      <c r="B509" s="42" t="s">
        <v>111</v>
      </c>
      <c r="C509" s="40">
        <v>3158.01</v>
      </c>
      <c r="D509" s="20">
        <v>2.8419999999999999E-3</v>
      </c>
    </row>
    <row r="510" spans="1:4" x14ac:dyDescent="0.3">
      <c r="A510" s="19" t="s">
        <v>42</v>
      </c>
      <c r="B510" s="42" t="s">
        <v>111</v>
      </c>
      <c r="C510" s="40">
        <v>3134.79</v>
      </c>
      <c r="D510" s="20">
        <v>2.8210000000000002E-3</v>
      </c>
    </row>
    <row r="511" spans="1:4" x14ac:dyDescent="0.3">
      <c r="A511" s="19" t="s">
        <v>64</v>
      </c>
      <c r="B511" s="42" t="s">
        <v>111</v>
      </c>
      <c r="C511" s="40">
        <v>2497.1999999999998</v>
      </c>
      <c r="D511" s="20">
        <v>2.2470000000000003E-3</v>
      </c>
    </row>
    <row r="512" spans="1:4" x14ac:dyDescent="0.3">
      <c r="A512" s="19" t="s">
        <v>26</v>
      </c>
      <c r="B512" s="42" t="s">
        <v>111</v>
      </c>
      <c r="C512" s="40">
        <v>2407.56</v>
      </c>
      <c r="D512" s="20">
        <v>2.1670000000000001E-3</v>
      </c>
    </row>
    <row r="513" spans="1:4" x14ac:dyDescent="0.3">
      <c r="A513" s="19" t="s">
        <v>3</v>
      </c>
      <c r="B513" s="42" t="s">
        <v>111</v>
      </c>
      <c r="C513" s="40">
        <v>2267.37</v>
      </c>
      <c r="D513" s="20">
        <v>2.0409999999999998E-3</v>
      </c>
    </row>
    <row r="514" spans="1:4" x14ac:dyDescent="0.3">
      <c r="A514" s="19" t="s">
        <v>39</v>
      </c>
      <c r="B514" s="42" t="s">
        <v>111</v>
      </c>
      <c r="C514" s="40">
        <v>1957.78</v>
      </c>
      <c r="D514" s="20">
        <v>1.7619999999999999E-3</v>
      </c>
    </row>
    <row r="515" spans="1:4" x14ac:dyDescent="0.3">
      <c r="A515" s="19" t="s">
        <v>61</v>
      </c>
      <c r="B515" s="42" t="s">
        <v>111</v>
      </c>
      <c r="C515" s="40">
        <v>1900.98</v>
      </c>
      <c r="D515" s="20">
        <v>1.7110000000000001E-3</v>
      </c>
    </row>
    <row r="516" spans="1:4" x14ac:dyDescent="0.3">
      <c r="A516" s="19" t="s">
        <v>34</v>
      </c>
      <c r="B516" s="42" t="s">
        <v>111</v>
      </c>
      <c r="C516" s="40">
        <v>1853.63</v>
      </c>
      <c r="D516" s="20">
        <v>1.668E-3</v>
      </c>
    </row>
    <row r="517" spans="1:4" x14ac:dyDescent="0.3">
      <c r="A517" s="19" t="s">
        <v>50</v>
      </c>
      <c r="B517" s="42" t="s">
        <v>111</v>
      </c>
      <c r="C517" s="40">
        <v>1771.61</v>
      </c>
      <c r="D517" s="20">
        <v>1.5939999999999999E-3</v>
      </c>
    </row>
    <row r="518" spans="1:4" x14ac:dyDescent="0.3">
      <c r="A518" s="19" t="s">
        <v>19</v>
      </c>
      <c r="B518" s="42" t="s">
        <v>111</v>
      </c>
      <c r="C518" s="40">
        <v>1736.9</v>
      </c>
      <c r="D518" s="20">
        <v>1.5629999999999999E-3</v>
      </c>
    </row>
    <row r="519" spans="1:4" x14ac:dyDescent="0.3">
      <c r="A519" s="19" t="s">
        <v>32</v>
      </c>
      <c r="B519" s="42" t="s">
        <v>111</v>
      </c>
      <c r="C519" s="40">
        <v>1308.3699999999999</v>
      </c>
      <c r="D519" s="20">
        <v>1.1770000000000001E-3</v>
      </c>
    </row>
    <row r="520" spans="1:4" x14ac:dyDescent="0.3">
      <c r="A520" s="19" t="s">
        <v>49</v>
      </c>
      <c r="B520" s="42" t="s">
        <v>111</v>
      </c>
      <c r="C520" s="40">
        <v>1138.44</v>
      </c>
      <c r="D520" s="20">
        <v>1.0249999999999999E-3</v>
      </c>
    </row>
    <row r="521" spans="1:4" x14ac:dyDescent="0.3">
      <c r="A521" s="19" t="s">
        <v>33</v>
      </c>
      <c r="B521" s="42" t="s">
        <v>111</v>
      </c>
      <c r="C521" s="40">
        <v>939.59</v>
      </c>
      <c r="D521" s="20">
        <v>8.4599999999999996E-4</v>
      </c>
    </row>
    <row r="522" spans="1:4" x14ac:dyDescent="0.3">
      <c r="A522" s="19" t="s">
        <v>31</v>
      </c>
      <c r="B522" s="42" t="s">
        <v>111</v>
      </c>
      <c r="C522" s="40">
        <v>876.54</v>
      </c>
      <c r="D522" s="20">
        <v>7.8899999999999999E-4</v>
      </c>
    </row>
    <row r="523" spans="1:4" x14ac:dyDescent="0.3">
      <c r="A523" s="19" t="s">
        <v>72</v>
      </c>
      <c r="B523" s="42" t="s">
        <v>111</v>
      </c>
      <c r="C523" s="40">
        <v>761.7</v>
      </c>
      <c r="D523" s="20">
        <v>6.8599999999999998E-4</v>
      </c>
    </row>
    <row r="524" spans="1:4" x14ac:dyDescent="0.3">
      <c r="A524" s="19" t="s">
        <v>67</v>
      </c>
      <c r="B524" s="42" t="s">
        <v>111</v>
      </c>
      <c r="C524" s="40">
        <v>758.3</v>
      </c>
      <c r="D524" s="20">
        <v>6.8199999999999999E-4</v>
      </c>
    </row>
    <row r="525" spans="1:4" x14ac:dyDescent="0.3">
      <c r="A525" s="19" t="s">
        <v>28</v>
      </c>
      <c r="B525" s="42" t="s">
        <v>111</v>
      </c>
      <c r="C525" s="40">
        <v>747.53</v>
      </c>
      <c r="D525" s="20">
        <v>6.7299999999999999E-4</v>
      </c>
    </row>
    <row r="526" spans="1:4" x14ac:dyDescent="0.3">
      <c r="A526" s="19" t="s">
        <v>69</v>
      </c>
      <c r="B526" s="42" t="s">
        <v>111</v>
      </c>
      <c r="C526" s="40">
        <v>734.97</v>
      </c>
      <c r="D526" s="20">
        <v>6.6100000000000002E-4</v>
      </c>
    </row>
    <row r="527" spans="1:4" x14ac:dyDescent="0.3">
      <c r="A527" s="19" t="s">
        <v>22</v>
      </c>
      <c r="B527" s="42" t="s">
        <v>111</v>
      </c>
      <c r="C527" s="40">
        <v>701.87</v>
      </c>
      <c r="D527" s="20">
        <v>6.3200000000000007E-4</v>
      </c>
    </row>
    <row r="528" spans="1:4" x14ac:dyDescent="0.3">
      <c r="A528" s="19" t="s">
        <v>55</v>
      </c>
      <c r="B528" s="42" t="s">
        <v>111</v>
      </c>
      <c r="C528" s="40">
        <v>644.16</v>
      </c>
      <c r="D528" s="20">
        <v>5.8E-4</v>
      </c>
    </row>
    <row r="529" spans="1:4" x14ac:dyDescent="0.3">
      <c r="A529" s="19" t="s">
        <v>47</v>
      </c>
      <c r="B529" s="42" t="s">
        <v>111</v>
      </c>
      <c r="C529" s="40">
        <v>621.44000000000005</v>
      </c>
      <c r="D529" s="20">
        <v>5.5900000000000004E-4</v>
      </c>
    </row>
    <row r="530" spans="1:4" x14ac:dyDescent="0.3">
      <c r="A530" s="19" t="s">
        <v>60</v>
      </c>
      <c r="B530" s="42" t="s">
        <v>111</v>
      </c>
      <c r="C530" s="40">
        <v>572.53</v>
      </c>
      <c r="D530" s="20">
        <v>5.1499999999999994E-4</v>
      </c>
    </row>
    <row r="531" spans="1:4" x14ac:dyDescent="0.3">
      <c r="A531" s="19" t="s">
        <v>53</v>
      </c>
      <c r="B531" s="42" t="s">
        <v>111</v>
      </c>
      <c r="C531" s="40">
        <v>493.66</v>
      </c>
      <c r="D531" s="20">
        <v>4.44E-4</v>
      </c>
    </row>
    <row r="532" spans="1:4" x14ac:dyDescent="0.3">
      <c r="A532" s="19" t="s">
        <v>76</v>
      </c>
      <c r="B532" s="42" t="s">
        <v>111</v>
      </c>
      <c r="C532" s="40">
        <v>476.5</v>
      </c>
      <c r="D532" s="20">
        <v>4.2900000000000002E-4</v>
      </c>
    </row>
    <row r="533" spans="1:4" x14ac:dyDescent="0.3">
      <c r="A533" s="19" t="s">
        <v>48</v>
      </c>
      <c r="B533" s="42" t="s">
        <v>111</v>
      </c>
      <c r="C533" s="40">
        <v>459.6</v>
      </c>
      <c r="D533" s="20">
        <v>4.1399999999999998E-4</v>
      </c>
    </row>
    <row r="534" spans="1:4" x14ac:dyDescent="0.3">
      <c r="A534" s="19" t="s">
        <v>37</v>
      </c>
      <c r="B534" s="42" t="s">
        <v>111</v>
      </c>
      <c r="C534" s="40">
        <v>427.57</v>
      </c>
      <c r="D534" s="20">
        <v>3.8499999999999998E-4</v>
      </c>
    </row>
    <row r="535" spans="1:4" x14ac:dyDescent="0.3">
      <c r="A535" s="19" t="s">
        <v>62</v>
      </c>
      <c r="B535" s="42" t="s">
        <v>111</v>
      </c>
      <c r="C535" s="40">
        <v>381.18</v>
      </c>
      <c r="D535" s="20">
        <v>3.4299999999999999E-4</v>
      </c>
    </row>
    <row r="536" spans="1:4" x14ac:dyDescent="0.3">
      <c r="A536" s="19" t="s">
        <v>57</v>
      </c>
      <c r="B536" s="42" t="s">
        <v>111</v>
      </c>
      <c r="C536" s="40">
        <v>337.5</v>
      </c>
      <c r="D536" s="20">
        <v>3.0400000000000002E-4</v>
      </c>
    </row>
    <row r="537" spans="1:4" x14ac:dyDescent="0.3">
      <c r="A537" s="19" t="s">
        <v>52</v>
      </c>
      <c r="B537" s="42" t="s">
        <v>111</v>
      </c>
      <c r="C537" s="40">
        <v>324.20999999999998</v>
      </c>
      <c r="D537" s="20">
        <v>2.92E-4</v>
      </c>
    </row>
    <row r="538" spans="1:4" x14ac:dyDescent="0.3">
      <c r="A538" s="19" t="s">
        <v>79</v>
      </c>
      <c r="B538" s="42" t="s">
        <v>111</v>
      </c>
      <c r="C538" s="40">
        <v>316.92</v>
      </c>
      <c r="D538" s="20">
        <v>2.8499999999999999E-4</v>
      </c>
    </row>
    <row r="539" spans="1:4" x14ac:dyDescent="0.3">
      <c r="A539" s="19" t="s">
        <v>88</v>
      </c>
      <c r="B539" s="42" t="s">
        <v>111</v>
      </c>
      <c r="C539" s="40">
        <v>278.32</v>
      </c>
      <c r="D539" s="20">
        <v>2.5000000000000001E-4</v>
      </c>
    </row>
    <row r="540" spans="1:4" x14ac:dyDescent="0.3">
      <c r="A540" s="19" t="s">
        <v>58</v>
      </c>
      <c r="B540" s="42" t="s">
        <v>111</v>
      </c>
      <c r="C540" s="40">
        <v>257.47000000000003</v>
      </c>
      <c r="D540" s="20">
        <v>2.3199999999999997E-4</v>
      </c>
    </row>
    <row r="541" spans="1:4" x14ac:dyDescent="0.3">
      <c r="A541" s="19" t="s">
        <v>56</v>
      </c>
      <c r="B541" s="42" t="s">
        <v>111</v>
      </c>
      <c r="C541" s="40">
        <v>227.61</v>
      </c>
      <c r="D541" s="20">
        <v>2.05E-4</v>
      </c>
    </row>
    <row r="542" spans="1:4" x14ac:dyDescent="0.3">
      <c r="A542" s="19" t="s">
        <v>65</v>
      </c>
      <c r="B542" s="42" t="s">
        <v>111</v>
      </c>
      <c r="C542" s="40">
        <v>209.41</v>
      </c>
      <c r="D542" s="20">
        <v>1.8800000000000002E-4</v>
      </c>
    </row>
    <row r="543" spans="1:4" x14ac:dyDescent="0.3">
      <c r="A543" s="19" t="s">
        <v>46</v>
      </c>
      <c r="B543" s="42" t="s">
        <v>111</v>
      </c>
      <c r="C543" s="40">
        <v>204.77</v>
      </c>
      <c r="D543" s="20">
        <v>1.84E-4</v>
      </c>
    </row>
    <row r="544" spans="1:4" x14ac:dyDescent="0.3">
      <c r="A544" s="19" t="s">
        <v>71</v>
      </c>
      <c r="B544" s="42" t="s">
        <v>111</v>
      </c>
      <c r="C544" s="40">
        <v>196.06</v>
      </c>
      <c r="D544" s="20">
        <v>1.7600000000000002E-4</v>
      </c>
    </row>
    <row r="545" spans="1:4" x14ac:dyDescent="0.3">
      <c r="A545" s="19" t="s">
        <v>74</v>
      </c>
      <c r="B545" s="42" t="s">
        <v>111</v>
      </c>
      <c r="C545" s="40">
        <v>182.22</v>
      </c>
      <c r="D545" s="20">
        <v>1.64E-4</v>
      </c>
    </row>
    <row r="546" spans="1:4" x14ac:dyDescent="0.3">
      <c r="A546" s="19" t="s">
        <v>63</v>
      </c>
      <c r="B546" s="42" t="s">
        <v>111</v>
      </c>
      <c r="C546" s="40">
        <v>149.33000000000001</v>
      </c>
      <c r="D546" s="20">
        <v>1.34E-4</v>
      </c>
    </row>
    <row r="547" spans="1:4" x14ac:dyDescent="0.3">
      <c r="A547" s="19" t="s">
        <v>59</v>
      </c>
      <c r="B547" s="42" t="s">
        <v>111</v>
      </c>
      <c r="C547" s="40">
        <v>100.72</v>
      </c>
      <c r="D547" s="20">
        <v>9.1000000000000003E-5</v>
      </c>
    </row>
    <row r="548" spans="1:4" x14ac:dyDescent="0.3">
      <c r="A548" s="19" t="s">
        <v>84</v>
      </c>
      <c r="B548" s="42" t="s">
        <v>111</v>
      </c>
      <c r="C548" s="40">
        <v>93.08</v>
      </c>
      <c r="D548" s="20">
        <v>8.3999999999999995E-5</v>
      </c>
    </row>
    <row r="549" spans="1:4" x14ac:dyDescent="0.3">
      <c r="A549" s="19" t="s">
        <v>75</v>
      </c>
      <c r="B549" s="42" t="s">
        <v>111</v>
      </c>
      <c r="C549" s="40">
        <v>76.02</v>
      </c>
      <c r="D549" s="20">
        <v>6.7999999999999999E-5</v>
      </c>
    </row>
    <row r="550" spans="1:4" x14ac:dyDescent="0.3">
      <c r="A550" s="19" t="s">
        <v>83</v>
      </c>
      <c r="B550" s="42" t="s">
        <v>111</v>
      </c>
      <c r="C550" s="40">
        <v>61.25</v>
      </c>
      <c r="D550" s="20">
        <v>5.4999999999999995E-5</v>
      </c>
    </row>
    <row r="551" spans="1:4" x14ac:dyDescent="0.3">
      <c r="A551" s="19" t="s">
        <v>81</v>
      </c>
      <c r="B551" s="42" t="s">
        <v>111</v>
      </c>
      <c r="C551" s="40">
        <v>29.64</v>
      </c>
      <c r="D551" s="20">
        <v>2.7000000000000002E-5</v>
      </c>
    </row>
    <row r="552" spans="1:4" x14ac:dyDescent="0.3">
      <c r="B552" s="42" t="s">
        <v>111</v>
      </c>
      <c r="C552" s="40">
        <v>15.1</v>
      </c>
      <c r="D552" s="20">
        <v>1.4E-5</v>
      </c>
    </row>
    <row r="553" spans="1:4" x14ac:dyDescent="0.3">
      <c r="A553" s="19" t="s">
        <v>133</v>
      </c>
      <c r="B553" s="42" t="s">
        <v>111</v>
      </c>
      <c r="C553" s="40">
        <v>8.8000000000000007</v>
      </c>
      <c r="D553" s="20">
        <v>7.9999999999999996E-6</v>
      </c>
    </row>
    <row r="554" spans="1:4" x14ac:dyDescent="0.3">
      <c r="A554" s="19" t="s">
        <v>66</v>
      </c>
      <c r="B554" s="42" t="s">
        <v>111</v>
      </c>
      <c r="C554" s="40">
        <v>8.6999999999999993</v>
      </c>
      <c r="D554" s="20">
        <v>7.9999999999999996E-6</v>
      </c>
    </row>
    <row r="555" spans="1:4" x14ac:dyDescent="0.3">
      <c r="A555" s="19" t="s">
        <v>1</v>
      </c>
      <c r="B555" s="42" t="s">
        <v>112</v>
      </c>
      <c r="C555" s="40">
        <v>148084.76</v>
      </c>
      <c r="D555" s="20">
        <v>0.12678699999999998</v>
      </c>
    </row>
    <row r="556" spans="1:4" x14ac:dyDescent="0.3">
      <c r="A556" s="19" t="s">
        <v>0</v>
      </c>
      <c r="B556" s="42" t="s">
        <v>112</v>
      </c>
      <c r="C556" s="40">
        <v>116437.07</v>
      </c>
      <c r="D556" s="20">
        <v>9.9690999999999988E-2</v>
      </c>
    </row>
    <row r="557" spans="1:4" x14ac:dyDescent="0.3">
      <c r="A557" s="19" t="s">
        <v>8</v>
      </c>
      <c r="B557" s="42" t="s">
        <v>112</v>
      </c>
      <c r="C557" s="40">
        <v>94907.38</v>
      </c>
      <c r="D557" s="20">
        <v>8.1257999999999997E-2</v>
      </c>
    </row>
    <row r="558" spans="1:4" x14ac:dyDescent="0.3">
      <c r="A558" s="19" t="s">
        <v>3</v>
      </c>
      <c r="B558" s="42" t="s">
        <v>112</v>
      </c>
      <c r="C558" s="40">
        <v>93394.25</v>
      </c>
      <c r="D558" s="20">
        <v>7.9962000000000005E-2</v>
      </c>
    </row>
    <row r="559" spans="1:4" x14ac:dyDescent="0.3">
      <c r="A559" s="19" t="s">
        <v>2</v>
      </c>
      <c r="B559" s="42" t="s">
        <v>112</v>
      </c>
      <c r="C559" s="40">
        <v>92118.82</v>
      </c>
      <c r="D559" s="20">
        <v>7.8869999999999996E-2</v>
      </c>
    </row>
    <row r="560" spans="1:4" x14ac:dyDescent="0.3">
      <c r="A560" s="19" t="s">
        <v>4</v>
      </c>
      <c r="B560" s="42" t="s">
        <v>112</v>
      </c>
      <c r="C560" s="40">
        <v>90893.77</v>
      </c>
      <c r="D560" s="20">
        <v>7.7821000000000001E-2</v>
      </c>
    </row>
    <row r="561" spans="1:4" x14ac:dyDescent="0.3">
      <c r="A561" s="19" t="s">
        <v>6</v>
      </c>
      <c r="B561" s="42" t="s">
        <v>112</v>
      </c>
      <c r="C561" s="40">
        <v>79315.570000000007</v>
      </c>
      <c r="D561" s="20">
        <v>6.7907999999999996E-2</v>
      </c>
    </row>
    <row r="562" spans="1:4" x14ac:dyDescent="0.3">
      <c r="A562" s="19" t="s">
        <v>12</v>
      </c>
      <c r="B562" s="42" t="s">
        <v>112</v>
      </c>
      <c r="C562" s="40">
        <v>67718.740000000005</v>
      </c>
      <c r="D562" s="20">
        <v>5.7979000000000003E-2</v>
      </c>
    </row>
    <row r="563" spans="1:4" x14ac:dyDescent="0.3">
      <c r="A563" s="19" t="s">
        <v>14</v>
      </c>
      <c r="B563" s="42" t="s">
        <v>112</v>
      </c>
      <c r="C563" s="40">
        <v>46803.95</v>
      </c>
      <c r="D563" s="20">
        <v>4.0072999999999998E-2</v>
      </c>
    </row>
    <row r="564" spans="1:4" x14ac:dyDescent="0.3">
      <c r="A564" s="19" t="s">
        <v>9</v>
      </c>
      <c r="B564" s="42" t="s">
        <v>112</v>
      </c>
      <c r="C564" s="40">
        <v>42057.29</v>
      </c>
      <c r="D564" s="20">
        <v>3.6008999999999999E-2</v>
      </c>
    </row>
    <row r="565" spans="1:4" x14ac:dyDescent="0.3">
      <c r="A565" s="19" t="s">
        <v>11</v>
      </c>
      <c r="B565" s="42" t="s">
        <v>112</v>
      </c>
      <c r="C565" s="40">
        <v>34615.79</v>
      </c>
      <c r="D565" s="20">
        <v>2.9636999999999997E-2</v>
      </c>
    </row>
    <row r="566" spans="1:4" x14ac:dyDescent="0.3">
      <c r="A566" s="19" t="s">
        <v>17</v>
      </c>
      <c r="B566" s="42" t="s">
        <v>112</v>
      </c>
      <c r="C566" s="40">
        <v>29038.14</v>
      </c>
      <c r="D566" s="20">
        <v>2.4862000000000002E-2</v>
      </c>
    </row>
    <row r="567" spans="1:4" x14ac:dyDescent="0.3">
      <c r="A567" s="19" t="s">
        <v>10</v>
      </c>
      <c r="B567" s="42" t="s">
        <v>112</v>
      </c>
      <c r="C567" s="40">
        <v>26493.57</v>
      </c>
      <c r="D567" s="20">
        <v>2.2682999999999998E-2</v>
      </c>
    </row>
    <row r="568" spans="1:4" x14ac:dyDescent="0.3">
      <c r="A568" s="19" t="s">
        <v>5</v>
      </c>
      <c r="B568" s="42" t="s">
        <v>112</v>
      </c>
      <c r="C568" s="40">
        <v>24202.240000000002</v>
      </c>
      <c r="D568" s="20">
        <v>2.0721E-2</v>
      </c>
    </row>
    <row r="569" spans="1:4" x14ac:dyDescent="0.3">
      <c r="A569" s="19" t="s">
        <v>19</v>
      </c>
      <c r="B569" s="42" t="s">
        <v>112</v>
      </c>
      <c r="C569" s="40">
        <v>18800.009999999998</v>
      </c>
      <c r="D569" s="20">
        <v>1.6095999999999999E-2</v>
      </c>
    </row>
    <row r="570" spans="1:4" x14ac:dyDescent="0.3">
      <c r="A570" s="19" t="s">
        <v>21</v>
      </c>
      <c r="B570" s="42" t="s">
        <v>112</v>
      </c>
      <c r="C570" s="40">
        <v>17179.25</v>
      </c>
      <c r="D570" s="20">
        <v>1.4708000000000001E-2</v>
      </c>
    </row>
    <row r="571" spans="1:4" x14ac:dyDescent="0.3">
      <c r="A571" s="19" t="s">
        <v>36</v>
      </c>
      <c r="B571" s="42" t="s">
        <v>112</v>
      </c>
      <c r="C571" s="40">
        <v>15822.05</v>
      </c>
      <c r="D571" s="20">
        <v>1.3546000000000001E-2</v>
      </c>
    </row>
    <row r="572" spans="1:4" x14ac:dyDescent="0.3">
      <c r="A572" s="19" t="s">
        <v>15</v>
      </c>
      <c r="B572" s="42" t="s">
        <v>112</v>
      </c>
      <c r="C572" s="40">
        <v>11762.76</v>
      </c>
      <c r="D572" s="20">
        <v>1.0071000000000002E-2</v>
      </c>
    </row>
    <row r="573" spans="1:4" x14ac:dyDescent="0.3">
      <c r="A573" s="19" t="s">
        <v>16</v>
      </c>
      <c r="B573" s="42" t="s">
        <v>112</v>
      </c>
      <c r="C573" s="40">
        <v>9861.1200000000008</v>
      </c>
      <c r="D573" s="20">
        <v>8.4430000000000009E-3</v>
      </c>
    </row>
    <row r="574" spans="1:4" x14ac:dyDescent="0.3">
      <c r="A574" s="19" t="s">
        <v>29</v>
      </c>
      <c r="B574" s="42" t="s">
        <v>112</v>
      </c>
      <c r="C574" s="40">
        <v>8821.84</v>
      </c>
      <c r="D574" s="20">
        <v>7.5529999999999998E-3</v>
      </c>
    </row>
    <row r="575" spans="1:4" x14ac:dyDescent="0.3">
      <c r="A575" s="19" t="s">
        <v>18</v>
      </c>
      <c r="B575" s="42" t="s">
        <v>112</v>
      </c>
      <c r="C575" s="40">
        <v>8268.5</v>
      </c>
      <c r="D575" s="20">
        <v>7.0789999999999994E-3</v>
      </c>
    </row>
    <row r="576" spans="1:4" x14ac:dyDescent="0.3">
      <c r="A576" s="19" t="s">
        <v>45</v>
      </c>
      <c r="B576" s="42" t="s">
        <v>112</v>
      </c>
      <c r="C576" s="40">
        <v>7465.92</v>
      </c>
      <c r="D576" s="20">
        <v>6.3920000000000001E-3</v>
      </c>
    </row>
    <row r="577" spans="1:4" x14ac:dyDescent="0.3">
      <c r="A577" s="19" t="s">
        <v>41</v>
      </c>
      <c r="B577" s="42" t="s">
        <v>112</v>
      </c>
      <c r="C577" s="40">
        <v>7353.47</v>
      </c>
      <c r="D577" s="20">
        <v>6.2960000000000004E-3</v>
      </c>
    </row>
    <row r="578" spans="1:4" x14ac:dyDescent="0.3">
      <c r="A578" s="19" t="s">
        <v>27</v>
      </c>
      <c r="B578" s="42" t="s">
        <v>112</v>
      </c>
      <c r="C578" s="40">
        <v>6592.93</v>
      </c>
      <c r="D578" s="20">
        <v>5.6449999999999998E-3</v>
      </c>
    </row>
    <row r="579" spans="1:4" x14ac:dyDescent="0.3">
      <c r="A579" s="19" t="s">
        <v>69</v>
      </c>
      <c r="B579" s="42" t="s">
        <v>112</v>
      </c>
      <c r="C579" s="40">
        <v>5704.9</v>
      </c>
      <c r="D579" s="20">
        <v>4.8840000000000003E-3</v>
      </c>
    </row>
    <row r="580" spans="1:4" x14ac:dyDescent="0.3">
      <c r="A580" s="19" t="s">
        <v>26</v>
      </c>
      <c r="B580" s="42" t="s">
        <v>112</v>
      </c>
      <c r="C580" s="40">
        <v>5021.91</v>
      </c>
      <c r="D580" s="20">
        <v>4.3E-3</v>
      </c>
    </row>
    <row r="581" spans="1:4" x14ac:dyDescent="0.3">
      <c r="A581" s="19" t="s">
        <v>34</v>
      </c>
      <c r="B581" s="42" t="s">
        <v>112</v>
      </c>
      <c r="C581" s="40">
        <v>4400.38</v>
      </c>
      <c r="D581" s="20">
        <v>3.7680000000000001E-3</v>
      </c>
    </row>
    <row r="582" spans="1:4" x14ac:dyDescent="0.3">
      <c r="A582" s="19" t="s">
        <v>38</v>
      </c>
      <c r="B582" s="42" t="s">
        <v>112</v>
      </c>
      <c r="C582" s="40">
        <v>4120.1000000000004</v>
      </c>
      <c r="D582" s="20">
        <v>3.5279999999999999E-3</v>
      </c>
    </row>
    <row r="583" spans="1:4" x14ac:dyDescent="0.3">
      <c r="A583" s="19" t="s">
        <v>42</v>
      </c>
      <c r="B583" s="42" t="s">
        <v>112</v>
      </c>
      <c r="C583" s="40">
        <v>3735.42</v>
      </c>
      <c r="D583" s="20">
        <v>3.1979999999999999E-3</v>
      </c>
    </row>
    <row r="584" spans="1:4" x14ac:dyDescent="0.3">
      <c r="A584" s="19" t="s">
        <v>23</v>
      </c>
      <c r="B584" s="42" t="s">
        <v>112</v>
      </c>
      <c r="C584" s="40">
        <v>3236.67</v>
      </c>
      <c r="D584" s="20">
        <v>2.771E-3</v>
      </c>
    </row>
    <row r="585" spans="1:4" x14ac:dyDescent="0.3">
      <c r="A585" s="19" t="s">
        <v>40</v>
      </c>
      <c r="B585" s="42" t="s">
        <v>112</v>
      </c>
      <c r="C585" s="40">
        <v>3223.62</v>
      </c>
      <c r="D585" s="20">
        <v>2.7600000000000003E-3</v>
      </c>
    </row>
    <row r="586" spans="1:4" x14ac:dyDescent="0.3">
      <c r="A586" s="19" t="s">
        <v>22</v>
      </c>
      <c r="B586" s="42" t="s">
        <v>112</v>
      </c>
      <c r="C586" s="40">
        <v>3059.34</v>
      </c>
      <c r="D586" s="20">
        <v>2.6190000000000002E-3</v>
      </c>
    </row>
    <row r="587" spans="1:4" x14ac:dyDescent="0.3">
      <c r="A587" s="19" t="s">
        <v>39</v>
      </c>
      <c r="B587" s="42" t="s">
        <v>112</v>
      </c>
      <c r="C587" s="40">
        <v>2922.47</v>
      </c>
      <c r="D587" s="20">
        <v>2.5019999999999999E-3</v>
      </c>
    </row>
    <row r="588" spans="1:4" x14ac:dyDescent="0.3">
      <c r="A588" s="19" t="s">
        <v>32</v>
      </c>
      <c r="B588" s="42" t="s">
        <v>112</v>
      </c>
      <c r="C588" s="40">
        <v>2652.04</v>
      </c>
      <c r="D588" s="20">
        <v>2.271E-3</v>
      </c>
    </row>
    <row r="589" spans="1:4" x14ac:dyDescent="0.3">
      <c r="A589" s="19" t="s">
        <v>31</v>
      </c>
      <c r="B589" s="42" t="s">
        <v>112</v>
      </c>
      <c r="C589" s="40">
        <v>2421.41</v>
      </c>
      <c r="D589" s="20">
        <v>2.0730000000000002E-3</v>
      </c>
    </row>
    <row r="590" spans="1:4" x14ac:dyDescent="0.3">
      <c r="A590" s="19" t="s">
        <v>24</v>
      </c>
      <c r="B590" s="42" t="s">
        <v>112</v>
      </c>
      <c r="C590" s="40">
        <v>2143.9899999999998</v>
      </c>
      <c r="D590" s="20">
        <v>1.8360000000000002E-3</v>
      </c>
    </row>
    <row r="591" spans="1:4" x14ac:dyDescent="0.3">
      <c r="A591" s="19" t="s">
        <v>54</v>
      </c>
      <c r="B591" s="42" t="s">
        <v>112</v>
      </c>
      <c r="C591" s="40">
        <v>2093.34</v>
      </c>
      <c r="D591" s="20">
        <v>1.792E-3</v>
      </c>
    </row>
    <row r="592" spans="1:4" x14ac:dyDescent="0.3">
      <c r="A592" s="19" t="s">
        <v>25</v>
      </c>
      <c r="B592" s="42" t="s">
        <v>112</v>
      </c>
      <c r="C592" s="40">
        <v>2085.84</v>
      </c>
      <c r="D592" s="20">
        <v>1.786E-3</v>
      </c>
    </row>
    <row r="593" spans="1:4" x14ac:dyDescent="0.3">
      <c r="A593" s="19" t="s">
        <v>63</v>
      </c>
      <c r="B593" s="42" t="s">
        <v>112</v>
      </c>
      <c r="C593" s="40">
        <v>2025.43</v>
      </c>
      <c r="D593" s="20">
        <v>1.7340000000000001E-3</v>
      </c>
    </row>
    <row r="594" spans="1:4" x14ac:dyDescent="0.3">
      <c r="A594" s="19" t="s">
        <v>49</v>
      </c>
      <c r="B594" s="42" t="s">
        <v>112</v>
      </c>
      <c r="C594" s="40">
        <v>1945.81</v>
      </c>
      <c r="D594" s="20">
        <v>1.6659999999999999E-3</v>
      </c>
    </row>
    <row r="595" spans="1:4" x14ac:dyDescent="0.3">
      <c r="A595" s="19" t="s">
        <v>50</v>
      </c>
      <c r="B595" s="42" t="s">
        <v>112</v>
      </c>
      <c r="C595" s="40">
        <v>1878.6</v>
      </c>
      <c r="D595" s="20">
        <v>1.6080000000000001E-3</v>
      </c>
    </row>
    <row r="596" spans="1:4" x14ac:dyDescent="0.3">
      <c r="A596" s="19" t="s">
        <v>28</v>
      </c>
      <c r="B596" s="42" t="s">
        <v>112</v>
      </c>
      <c r="C596" s="40">
        <v>1856.93</v>
      </c>
      <c r="D596" s="20">
        <v>1.5900000000000001E-3</v>
      </c>
    </row>
    <row r="597" spans="1:4" x14ac:dyDescent="0.3">
      <c r="A597" s="19" t="s">
        <v>61</v>
      </c>
      <c r="B597" s="42" t="s">
        <v>112</v>
      </c>
      <c r="C597" s="40">
        <v>1766.51</v>
      </c>
      <c r="D597" s="20">
        <v>1.5120000000000001E-3</v>
      </c>
    </row>
    <row r="598" spans="1:4" x14ac:dyDescent="0.3">
      <c r="A598" s="19" t="s">
        <v>30</v>
      </c>
      <c r="B598" s="42" t="s">
        <v>112</v>
      </c>
      <c r="C598" s="40">
        <v>1381.27</v>
      </c>
      <c r="D598" s="20">
        <v>1.183E-3</v>
      </c>
    </row>
    <row r="599" spans="1:4" x14ac:dyDescent="0.3">
      <c r="A599" s="19" t="s">
        <v>46</v>
      </c>
      <c r="B599" s="42" t="s">
        <v>112</v>
      </c>
      <c r="C599" s="40">
        <v>1232.77</v>
      </c>
      <c r="D599" s="20">
        <v>1.0549999999999999E-3</v>
      </c>
    </row>
    <row r="600" spans="1:4" x14ac:dyDescent="0.3">
      <c r="A600" s="19" t="s">
        <v>52</v>
      </c>
      <c r="B600" s="42" t="s">
        <v>112</v>
      </c>
      <c r="C600" s="40">
        <v>1167.95</v>
      </c>
      <c r="D600" s="20">
        <v>1E-3</v>
      </c>
    </row>
    <row r="601" spans="1:4" x14ac:dyDescent="0.3">
      <c r="A601" s="19" t="s">
        <v>33</v>
      </c>
      <c r="B601" s="42" t="s">
        <v>112</v>
      </c>
      <c r="C601" s="40">
        <v>973.72</v>
      </c>
      <c r="D601" s="20">
        <v>8.34E-4</v>
      </c>
    </row>
    <row r="602" spans="1:4" x14ac:dyDescent="0.3">
      <c r="A602" s="19" t="s">
        <v>56</v>
      </c>
      <c r="B602" s="42" t="s">
        <v>112</v>
      </c>
      <c r="C602" s="40">
        <v>951.44</v>
      </c>
      <c r="D602" s="20">
        <v>8.1500000000000008E-4</v>
      </c>
    </row>
    <row r="603" spans="1:4" x14ac:dyDescent="0.3">
      <c r="A603" s="19" t="s">
        <v>64</v>
      </c>
      <c r="B603" s="42" t="s">
        <v>112</v>
      </c>
      <c r="C603" s="40">
        <v>794.82</v>
      </c>
      <c r="D603" s="20">
        <v>6.8099999999999996E-4</v>
      </c>
    </row>
    <row r="604" spans="1:4" x14ac:dyDescent="0.3">
      <c r="A604" s="19" t="s">
        <v>48</v>
      </c>
      <c r="B604" s="42" t="s">
        <v>112</v>
      </c>
      <c r="C604" s="40">
        <v>747.32</v>
      </c>
      <c r="D604" s="20">
        <v>6.4000000000000005E-4</v>
      </c>
    </row>
    <row r="605" spans="1:4" x14ac:dyDescent="0.3">
      <c r="A605" s="19" t="s">
        <v>60</v>
      </c>
      <c r="B605" s="42" t="s">
        <v>112</v>
      </c>
      <c r="C605" s="40">
        <v>651.33000000000004</v>
      </c>
      <c r="D605" s="20">
        <v>5.5800000000000001E-4</v>
      </c>
    </row>
    <row r="606" spans="1:4" x14ac:dyDescent="0.3">
      <c r="A606" s="19" t="s">
        <v>58</v>
      </c>
      <c r="B606" s="42" t="s">
        <v>112</v>
      </c>
      <c r="C606" s="40">
        <v>646.09</v>
      </c>
      <c r="D606" s="20">
        <v>5.53E-4</v>
      </c>
    </row>
    <row r="607" spans="1:4" x14ac:dyDescent="0.3">
      <c r="A607" s="19" t="s">
        <v>53</v>
      </c>
      <c r="B607" s="42" t="s">
        <v>112</v>
      </c>
      <c r="C607" s="40">
        <v>631.04</v>
      </c>
      <c r="D607" s="20">
        <v>5.4000000000000001E-4</v>
      </c>
    </row>
    <row r="608" spans="1:4" x14ac:dyDescent="0.3">
      <c r="A608" s="19" t="s">
        <v>62</v>
      </c>
      <c r="B608" s="42" t="s">
        <v>112</v>
      </c>
      <c r="C608" s="40">
        <v>584.83000000000004</v>
      </c>
      <c r="D608" s="20">
        <v>5.0100000000000003E-4</v>
      </c>
    </row>
    <row r="609" spans="1:4" x14ac:dyDescent="0.3">
      <c r="A609" s="19" t="s">
        <v>67</v>
      </c>
      <c r="B609" s="42" t="s">
        <v>112</v>
      </c>
      <c r="C609" s="40">
        <v>567.05999999999995</v>
      </c>
      <c r="D609" s="20">
        <v>4.86E-4</v>
      </c>
    </row>
    <row r="610" spans="1:4" x14ac:dyDescent="0.3">
      <c r="A610" s="19" t="s">
        <v>87</v>
      </c>
      <c r="B610" s="42" t="s">
        <v>112</v>
      </c>
      <c r="C610" s="40">
        <v>457.22</v>
      </c>
      <c r="D610" s="20">
        <v>3.9100000000000002E-4</v>
      </c>
    </row>
    <row r="611" spans="1:4" x14ac:dyDescent="0.3">
      <c r="A611" s="19" t="s">
        <v>37</v>
      </c>
      <c r="B611" s="42" t="s">
        <v>112</v>
      </c>
      <c r="C611" s="40">
        <v>365.68</v>
      </c>
      <c r="D611" s="20">
        <v>3.1300000000000002E-4</v>
      </c>
    </row>
    <row r="612" spans="1:4" x14ac:dyDescent="0.3">
      <c r="A612" s="19" t="s">
        <v>55</v>
      </c>
      <c r="B612" s="42" t="s">
        <v>112</v>
      </c>
      <c r="C612" s="40">
        <v>263.33999999999997</v>
      </c>
      <c r="D612" s="20">
        <v>2.2499999999999999E-4</v>
      </c>
    </row>
    <row r="613" spans="1:4" x14ac:dyDescent="0.3">
      <c r="A613" s="19" t="s">
        <v>47</v>
      </c>
      <c r="B613" s="42" t="s">
        <v>112</v>
      </c>
      <c r="C613" s="40">
        <v>214.18</v>
      </c>
      <c r="D613" s="20">
        <v>1.83E-4</v>
      </c>
    </row>
    <row r="614" spans="1:4" x14ac:dyDescent="0.3">
      <c r="A614" s="19" t="s">
        <v>133</v>
      </c>
      <c r="B614" s="42" t="s">
        <v>112</v>
      </c>
      <c r="C614" s="40">
        <v>213.9</v>
      </c>
      <c r="D614" s="20">
        <v>1.83E-4</v>
      </c>
    </row>
    <row r="615" spans="1:4" x14ac:dyDescent="0.3">
      <c r="A615" s="19" t="s">
        <v>72</v>
      </c>
      <c r="B615" s="42" t="s">
        <v>112</v>
      </c>
      <c r="C615" s="40">
        <v>210.13</v>
      </c>
      <c r="D615" s="20">
        <v>1.7999999999999998E-4</v>
      </c>
    </row>
    <row r="616" spans="1:4" x14ac:dyDescent="0.3">
      <c r="A616" s="19" t="s">
        <v>80</v>
      </c>
      <c r="B616" s="42" t="s">
        <v>112</v>
      </c>
      <c r="C616" s="40">
        <v>200</v>
      </c>
      <c r="D616" s="20">
        <v>1.7100000000000001E-4</v>
      </c>
    </row>
    <row r="617" spans="1:4" x14ac:dyDescent="0.3">
      <c r="A617" s="19" t="s">
        <v>57</v>
      </c>
      <c r="B617" s="42" t="s">
        <v>112</v>
      </c>
      <c r="C617" s="40">
        <v>175.5</v>
      </c>
      <c r="D617" s="20">
        <v>1.4999999999999999E-4</v>
      </c>
    </row>
    <row r="618" spans="1:4" x14ac:dyDescent="0.3">
      <c r="A618" s="19" t="s">
        <v>94</v>
      </c>
      <c r="B618" s="42" t="s">
        <v>112</v>
      </c>
      <c r="C618" s="40">
        <v>167.3</v>
      </c>
      <c r="D618" s="20">
        <v>1.4300000000000001E-4</v>
      </c>
    </row>
    <row r="619" spans="1:4" x14ac:dyDescent="0.3">
      <c r="A619" s="19" t="s">
        <v>66</v>
      </c>
      <c r="B619" s="42" t="s">
        <v>112</v>
      </c>
      <c r="C619" s="40">
        <v>166.1</v>
      </c>
      <c r="D619" s="20">
        <v>1.4200000000000001E-4</v>
      </c>
    </row>
    <row r="620" spans="1:4" x14ac:dyDescent="0.3">
      <c r="A620" s="19" t="s">
        <v>88</v>
      </c>
      <c r="B620" s="42" t="s">
        <v>112</v>
      </c>
      <c r="C620" s="40">
        <v>150.88999999999999</v>
      </c>
      <c r="D620" s="20">
        <v>1.2899999999999999E-4</v>
      </c>
    </row>
    <row r="621" spans="1:4" x14ac:dyDescent="0.3">
      <c r="A621" s="19" t="s">
        <v>76</v>
      </c>
      <c r="B621" s="42" t="s">
        <v>112</v>
      </c>
      <c r="C621" s="40">
        <v>133.69999999999999</v>
      </c>
      <c r="D621" s="20">
        <v>1.1400000000000001E-4</v>
      </c>
    </row>
    <row r="622" spans="1:4" x14ac:dyDescent="0.3">
      <c r="A622" s="19" t="s">
        <v>71</v>
      </c>
      <c r="B622" s="42" t="s">
        <v>112</v>
      </c>
      <c r="C622" s="40">
        <v>110.94</v>
      </c>
      <c r="D622" s="20">
        <v>9.4999999999999992E-5</v>
      </c>
    </row>
    <row r="623" spans="1:4" x14ac:dyDescent="0.3">
      <c r="A623" s="19" t="s">
        <v>65</v>
      </c>
      <c r="B623" s="42" t="s">
        <v>112</v>
      </c>
      <c r="C623" s="40">
        <v>87.78</v>
      </c>
      <c r="D623" s="20">
        <v>7.4999999999999993E-5</v>
      </c>
    </row>
    <row r="624" spans="1:4" x14ac:dyDescent="0.3">
      <c r="A624" s="19" t="s">
        <v>74</v>
      </c>
      <c r="B624" s="42" t="s">
        <v>112</v>
      </c>
      <c r="C624" s="40">
        <v>86.94</v>
      </c>
      <c r="D624" s="20">
        <v>7.400000000000001E-5</v>
      </c>
    </row>
    <row r="625" spans="1:4" x14ac:dyDescent="0.3">
      <c r="A625" s="19" t="s">
        <v>83</v>
      </c>
      <c r="B625" s="42" t="s">
        <v>112</v>
      </c>
      <c r="C625" s="40">
        <v>86.9</v>
      </c>
      <c r="D625" s="20">
        <v>7.400000000000001E-5</v>
      </c>
    </row>
    <row r="626" spans="1:4" x14ac:dyDescent="0.3">
      <c r="A626" s="19" t="s">
        <v>81</v>
      </c>
      <c r="B626" s="42" t="s">
        <v>112</v>
      </c>
      <c r="C626" s="40">
        <v>84.16</v>
      </c>
      <c r="D626" s="20">
        <v>7.2000000000000002E-5</v>
      </c>
    </row>
    <row r="627" spans="1:4" x14ac:dyDescent="0.3">
      <c r="A627" s="19" t="s">
        <v>59</v>
      </c>
      <c r="B627" s="42" t="s">
        <v>112</v>
      </c>
      <c r="C627" s="40">
        <v>74.94</v>
      </c>
      <c r="D627" s="20">
        <v>6.3999999999999997E-5</v>
      </c>
    </row>
    <row r="628" spans="1:4" x14ac:dyDescent="0.3">
      <c r="B628" s="42" t="s">
        <v>112</v>
      </c>
      <c r="C628" s="40">
        <v>27.96</v>
      </c>
      <c r="D628" s="20">
        <v>2.3999999999999997E-5</v>
      </c>
    </row>
    <row r="629" spans="1:4" x14ac:dyDescent="0.3">
      <c r="A629" s="19" t="s">
        <v>155</v>
      </c>
      <c r="B629" s="42" t="s">
        <v>112</v>
      </c>
      <c r="C629" s="40">
        <v>27.94</v>
      </c>
      <c r="D629" s="20">
        <v>2.3999999999999997E-5</v>
      </c>
    </row>
    <row r="630" spans="1:4" x14ac:dyDescent="0.3">
      <c r="A630" s="19" t="s">
        <v>75</v>
      </c>
      <c r="B630" s="42" t="s">
        <v>112</v>
      </c>
      <c r="C630" s="40">
        <v>19.02</v>
      </c>
      <c r="D630" s="20">
        <v>1.5999999999999999E-5</v>
      </c>
    </row>
    <row r="631" spans="1:4" x14ac:dyDescent="0.3">
      <c r="A631" s="19" t="s">
        <v>86</v>
      </c>
      <c r="B631" s="42" t="s">
        <v>112</v>
      </c>
      <c r="C631" s="40">
        <v>14.62</v>
      </c>
      <c r="D631" s="20">
        <v>1.2999999999999999E-5</v>
      </c>
    </row>
    <row r="632" spans="1:4" x14ac:dyDescent="0.3">
      <c r="A632" s="19" t="s">
        <v>85</v>
      </c>
      <c r="B632" s="42" t="s">
        <v>112</v>
      </c>
      <c r="C632" s="40">
        <v>8.76</v>
      </c>
      <c r="D632" s="20">
        <v>7.9999999999999996E-6</v>
      </c>
    </row>
    <row r="633" spans="1:4" x14ac:dyDescent="0.3">
      <c r="A633" s="19" t="s">
        <v>3</v>
      </c>
      <c r="B633" s="42" t="s">
        <v>113</v>
      </c>
      <c r="C633" s="40">
        <v>167780.55</v>
      </c>
      <c r="D633" s="20">
        <v>0.120876</v>
      </c>
    </row>
    <row r="634" spans="1:4" x14ac:dyDescent="0.3">
      <c r="A634" s="19" t="s">
        <v>1</v>
      </c>
      <c r="B634" s="42" t="s">
        <v>113</v>
      </c>
      <c r="C634" s="40">
        <v>158394.25</v>
      </c>
      <c r="D634" s="20">
        <v>0.11411400000000001</v>
      </c>
    </row>
    <row r="635" spans="1:4" x14ac:dyDescent="0.3">
      <c r="A635" s="19" t="s">
        <v>4</v>
      </c>
      <c r="B635" s="42" t="s">
        <v>113</v>
      </c>
      <c r="C635" s="40">
        <v>144404.82999999999</v>
      </c>
      <c r="D635" s="20">
        <v>0.10403499999999999</v>
      </c>
    </row>
    <row r="636" spans="1:4" x14ac:dyDescent="0.3">
      <c r="A636" s="19" t="s">
        <v>0</v>
      </c>
      <c r="B636" s="42" t="s">
        <v>113</v>
      </c>
      <c r="C636" s="40">
        <v>126951.88</v>
      </c>
      <c r="D636" s="20">
        <v>9.1461000000000001E-2</v>
      </c>
    </row>
    <row r="637" spans="1:4" x14ac:dyDescent="0.3">
      <c r="A637" s="19" t="s">
        <v>2</v>
      </c>
      <c r="B637" s="42" t="s">
        <v>113</v>
      </c>
      <c r="C637" s="40">
        <v>108161.07</v>
      </c>
      <c r="D637" s="20">
        <v>7.7923999999999993E-2</v>
      </c>
    </row>
    <row r="638" spans="1:4" x14ac:dyDescent="0.3">
      <c r="A638" s="19" t="s">
        <v>8</v>
      </c>
      <c r="B638" s="42" t="s">
        <v>113</v>
      </c>
      <c r="C638" s="40">
        <v>90100</v>
      </c>
      <c r="D638" s="20">
        <v>6.4911999999999997E-2</v>
      </c>
    </row>
    <row r="639" spans="1:4" x14ac:dyDescent="0.3">
      <c r="A639" s="19" t="s">
        <v>6</v>
      </c>
      <c r="B639" s="42" t="s">
        <v>113</v>
      </c>
      <c r="C639" s="40">
        <v>87576</v>
      </c>
      <c r="D639" s="20">
        <v>6.309300000000001E-2</v>
      </c>
    </row>
    <row r="640" spans="1:4" x14ac:dyDescent="0.3">
      <c r="A640" s="19" t="s">
        <v>12</v>
      </c>
      <c r="B640" s="42" t="s">
        <v>113</v>
      </c>
      <c r="C640" s="40">
        <v>54611.85</v>
      </c>
      <c r="D640" s="20">
        <v>3.9344999999999998E-2</v>
      </c>
    </row>
    <row r="641" spans="1:4" x14ac:dyDescent="0.3">
      <c r="A641" s="19" t="s">
        <v>5</v>
      </c>
      <c r="B641" s="42" t="s">
        <v>113</v>
      </c>
      <c r="C641" s="40">
        <v>54480.75</v>
      </c>
      <c r="D641" s="20">
        <v>3.925E-2</v>
      </c>
    </row>
    <row r="642" spans="1:4" x14ac:dyDescent="0.3">
      <c r="A642" s="19" t="s">
        <v>9</v>
      </c>
      <c r="B642" s="42" t="s">
        <v>113</v>
      </c>
      <c r="C642" s="40">
        <v>51098.51</v>
      </c>
      <c r="D642" s="20">
        <v>3.6812999999999999E-2</v>
      </c>
    </row>
    <row r="643" spans="1:4" x14ac:dyDescent="0.3">
      <c r="A643" s="19" t="s">
        <v>11</v>
      </c>
      <c r="B643" s="42" t="s">
        <v>113</v>
      </c>
      <c r="C643" s="40">
        <v>39746.21</v>
      </c>
      <c r="D643" s="20">
        <v>2.8635000000000001E-2</v>
      </c>
    </row>
    <row r="644" spans="1:4" x14ac:dyDescent="0.3">
      <c r="A644" s="19" t="s">
        <v>10</v>
      </c>
      <c r="B644" s="42" t="s">
        <v>113</v>
      </c>
      <c r="C644" s="40">
        <v>38703.49</v>
      </c>
      <c r="D644" s="20">
        <v>2.7884000000000003E-2</v>
      </c>
    </row>
    <row r="645" spans="1:4" x14ac:dyDescent="0.3">
      <c r="A645" s="19" t="s">
        <v>14</v>
      </c>
      <c r="B645" s="42" t="s">
        <v>113</v>
      </c>
      <c r="C645" s="40">
        <v>35035.379999999997</v>
      </c>
      <c r="D645" s="20">
        <v>2.5241E-2</v>
      </c>
    </row>
    <row r="646" spans="1:4" x14ac:dyDescent="0.3">
      <c r="A646" s="19" t="s">
        <v>27</v>
      </c>
      <c r="B646" s="42" t="s">
        <v>113</v>
      </c>
      <c r="C646" s="40">
        <v>32926.519999999997</v>
      </c>
      <c r="D646" s="20">
        <v>2.3722E-2</v>
      </c>
    </row>
    <row r="647" spans="1:4" x14ac:dyDescent="0.3">
      <c r="A647" s="19" t="s">
        <v>16</v>
      </c>
      <c r="B647" s="42" t="s">
        <v>113</v>
      </c>
      <c r="C647" s="40">
        <v>28039.74</v>
      </c>
      <c r="D647" s="20">
        <v>2.0200999999999997E-2</v>
      </c>
    </row>
    <row r="648" spans="1:4" x14ac:dyDescent="0.3">
      <c r="A648" s="19" t="s">
        <v>21</v>
      </c>
      <c r="B648" s="42" t="s">
        <v>113</v>
      </c>
      <c r="C648" s="40">
        <v>15457.54</v>
      </c>
      <c r="D648" s="20">
        <v>1.1136E-2</v>
      </c>
    </row>
    <row r="649" spans="1:4" x14ac:dyDescent="0.3">
      <c r="A649" s="19" t="s">
        <v>26</v>
      </c>
      <c r="B649" s="42" t="s">
        <v>113</v>
      </c>
      <c r="C649" s="40">
        <v>14796.79</v>
      </c>
      <c r="D649" s="20">
        <v>1.0660000000000001E-2</v>
      </c>
    </row>
    <row r="650" spans="1:4" x14ac:dyDescent="0.3">
      <c r="A650" s="19" t="s">
        <v>15</v>
      </c>
      <c r="B650" s="42" t="s">
        <v>113</v>
      </c>
      <c r="C650" s="40">
        <v>12168.59</v>
      </c>
      <c r="D650" s="20">
        <v>8.7670000000000005E-3</v>
      </c>
    </row>
    <row r="651" spans="1:4" x14ac:dyDescent="0.3">
      <c r="A651" s="19" t="s">
        <v>29</v>
      </c>
      <c r="B651" s="42" t="s">
        <v>113</v>
      </c>
      <c r="C651" s="40">
        <v>12080.33</v>
      </c>
      <c r="D651" s="20">
        <v>8.7029999999999989E-3</v>
      </c>
    </row>
    <row r="652" spans="1:4" x14ac:dyDescent="0.3">
      <c r="A652" s="19" t="s">
        <v>24</v>
      </c>
      <c r="B652" s="42" t="s">
        <v>113</v>
      </c>
      <c r="C652" s="40">
        <v>11298.95</v>
      </c>
      <c r="D652" s="20">
        <v>8.1399999999999997E-3</v>
      </c>
    </row>
    <row r="653" spans="1:4" x14ac:dyDescent="0.3">
      <c r="A653" s="19" t="s">
        <v>36</v>
      </c>
      <c r="B653" s="42" t="s">
        <v>113</v>
      </c>
      <c r="C653" s="40">
        <v>9478.5400000000009</v>
      </c>
      <c r="D653" s="20">
        <v>6.8289999999999991E-3</v>
      </c>
    </row>
    <row r="654" spans="1:4" x14ac:dyDescent="0.3">
      <c r="A654" s="19" t="s">
        <v>17</v>
      </c>
      <c r="B654" s="42" t="s">
        <v>113</v>
      </c>
      <c r="C654" s="40">
        <v>9204.83</v>
      </c>
      <c r="D654" s="20">
        <v>6.6319999999999999E-3</v>
      </c>
    </row>
    <row r="655" spans="1:4" x14ac:dyDescent="0.3">
      <c r="A655" s="19" t="s">
        <v>18</v>
      </c>
      <c r="B655" s="42" t="s">
        <v>113</v>
      </c>
      <c r="C655" s="40">
        <v>8186.62</v>
      </c>
      <c r="D655" s="20">
        <v>5.8979999999999996E-3</v>
      </c>
    </row>
    <row r="656" spans="1:4" x14ac:dyDescent="0.3">
      <c r="A656" s="19" t="s">
        <v>42</v>
      </c>
      <c r="B656" s="42" t="s">
        <v>113</v>
      </c>
      <c r="C656" s="40">
        <v>7432.75</v>
      </c>
      <c r="D656" s="20">
        <v>5.3549999999999995E-3</v>
      </c>
    </row>
    <row r="657" spans="1:4" x14ac:dyDescent="0.3">
      <c r="A657" s="19" t="s">
        <v>41</v>
      </c>
      <c r="B657" s="42" t="s">
        <v>113</v>
      </c>
      <c r="C657" s="40">
        <v>6944.31</v>
      </c>
      <c r="D657" s="20">
        <v>5.0029999999999996E-3</v>
      </c>
    </row>
    <row r="658" spans="1:4" x14ac:dyDescent="0.3">
      <c r="A658" s="19" t="s">
        <v>19</v>
      </c>
      <c r="B658" s="42" t="s">
        <v>113</v>
      </c>
      <c r="C658" s="40">
        <v>6710.4</v>
      </c>
      <c r="D658" s="20">
        <v>4.8339999999999998E-3</v>
      </c>
    </row>
    <row r="659" spans="1:4" x14ac:dyDescent="0.3">
      <c r="A659" s="19" t="s">
        <v>34</v>
      </c>
      <c r="B659" s="42" t="s">
        <v>113</v>
      </c>
      <c r="C659" s="40">
        <v>6636.23</v>
      </c>
      <c r="D659" s="20">
        <v>4.7810000000000005E-3</v>
      </c>
    </row>
    <row r="660" spans="1:4" x14ac:dyDescent="0.3">
      <c r="A660" s="19" t="s">
        <v>23</v>
      </c>
      <c r="B660" s="42" t="s">
        <v>113</v>
      </c>
      <c r="C660" s="40">
        <v>4393.01</v>
      </c>
      <c r="D660" s="20">
        <v>3.1649999999999998E-3</v>
      </c>
    </row>
    <row r="661" spans="1:4" x14ac:dyDescent="0.3">
      <c r="A661" s="19" t="s">
        <v>38</v>
      </c>
      <c r="B661" s="42" t="s">
        <v>113</v>
      </c>
      <c r="C661" s="40">
        <v>4130.82</v>
      </c>
      <c r="D661" s="20">
        <v>2.9759999999999999E-3</v>
      </c>
    </row>
    <row r="662" spans="1:4" x14ac:dyDescent="0.3">
      <c r="A662" s="19" t="s">
        <v>54</v>
      </c>
      <c r="B662" s="42" t="s">
        <v>113</v>
      </c>
      <c r="C662" s="40">
        <v>3538.41</v>
      </c>
      <c r="D662" s="20">
        <v>2.5490000000000001E-3</v>
      </c>
    </row>
    <row r="663" spans="1:4" x14ac:dyDescent="0.3">
      <c r="A663" s="19" t="s">
        <v>25</v>
      </c>
      <c r="B663" s="42" t="s">
        <v>113</v>
      </c>
      <c r="C663" s="40">
        <v>3128.41</v>
      </c>
      <c r="D663" s="20">
        <v>2.2539999999999999E-3</v>
      </c>
    </row>
    <row r="664" spans="1:4" x14ac:dyDescent="0.3">
      <c r="A664" s="19" t="s">
        <v>49</v>
      </c>
      <c r="B664" s="42" t="s">
        <v>113</v>
      </c>
      <c r="C664" s="40">
        <v>2984.48</v>
      </c>
      <c r="D664" s="20">
        <v>2.15E-3</v>
      </c>
    </row>
    <row r="665" spans="1:4" x14ac:dyDescent="0.3">
      <c r="A665" s="19" t="s">
        <v>28</v>
      </c>
      <c r="B665" s="42" t="s">
        <v>113</v>
      </c>
      <c r="C665" s="40">
        <v>2751.63</v>
      </c>
      <c r="D665" s="20">
        <v>1.9819999999999998E-3</v>
      </c>
    </row>
    <row r="666" spans="1:4" x14ac:dyDescent="0.3">
      <c r="A666" s="19" t="s">
        <v>39</v>
      </c>
      <c r="B666" s="42" t="s">
        <v>113</v>
      </c>
      <c r="C666" s="40">
        <v>2549.31</v>
      </c>
      <c r="D666" s="20">
        <v>1.8370000000000001E-3</v>
      </c>
    </row>
    <row r="667" spans="1:4" x14ac:dyDescent="0.3">
      <c r="A667" s="19" t="s">
        <v>33</v>
      </c>
      <c r="B667" s="42" t="s">
        <v>113</v>
      </c>
      <c r="C667" s="40">
        <v>2505.96</v>
      </c>
      <c r="D667" s="20">
        <v>1.805E-3</v>
      </c>
    </row>
    <row r="668" spans="1:4" x14ac:dyDescent="0.3">
      <c r="A668" s="19" t="s">
        <v>40</v>
      </c>
      <c r="B668" s="42" t="s">
        <v>113</v>
      </c>
      <c r="C668" s="40">
        <v>2154.4</v>
      </c>
      <c r="D668" s="20">
        <v>1.552E-3</v>
      </c>
    </row>
    <row r="669" spans="1:4" x14ac:dyDescent="0.3">
      <c r="A669" s="19" t="s">
        <v>48</v>
      </c>
      <c r="B669" s="42" t="s">
        <v>113</v>
      </c>
      <c r="C669" s="40">
        <v>2115.52</v>
      </c>
      <c r="D669" s="20">
        <v>1.5240000000000002E-3</v>
      </c>
    </row>
    <row r="670" spans="1:4" x14ac:dyDescent="0.3">
      <c r="A670" s="19" t="s">
        <v>32</v>
      </c>
      <c r="B670" s="42" t="s">
        <v>113</v>
      </c>
      <c r="C670" s="40">
        <v>1916.49</v>
      </c>
      <c r="D670" s="20">
        <v>1.3810000000000001E-3</v>
      </c>
    </row>
    <row r="671" spans="1:4" x14ac:dyDescent="0.3">
      <c r="A671" s="19" t="s">
        <v>50</v>
      </c>
      <c r="B671" s="42" t="s">
        <v>113</v>
      </c>
      <c r="C671" s="40">
        <v>1906.1</v>
      </c>
      <c r="D671" s="20">
        <v>1.3730000000000001E-3</v>
      </c>
    </row>
    <row r="672" spans="1:4" x14ac:dyDescent="0.3">
      <c r="A672" s="19" t="s">
        <v>46</v>
      </c>
      <c r="B672" s="42" t="s">
        <v>113</v>
      </c>
      <c r="C672" s="40">
        <v>1837.15</v>
      </c>
      <c r="D672" s="20">
        <v>1.3239999999999999E-3</v>
      </c>
    </row>
    <row r="673" spans="1:4" x14ac:dyDescent="0.3">
      <c r="A673" s="19" t="s">
        <v>31</v>
      </c>
      <c r="B673" s="42" t="s">
        <v>113</v>
      </c>
      <c r="C673" s="40">
        <v>1723.88</v>
      </c>
      <c r="D673" s="20">
        <v>1.242E-3</v>
      </c>
    </row>
    <row r="674" spans="1:4" x14ac:dyDescent="0.3">
      <c r="A674" s="19" t="s">
        <v>22</v>
      </c>
      <c r="B674" s="42" t="s">
        <v>113</v>
      </c>
      <c r="C674" s="40">
        <v>964.41</v>
      </c>
      <c r="D674" s="20">
        <v>6.9500000000000009E-4</v>
      </c>
    </row>
    <row r="675" spans="1:4" x14ac:dyDescent="0.3">
      <c r="A675" s="19" t="s">
        <v>63</v>
      </c>
      <c r="B675" s="42" t="s">
        <v>113</v>
      </c>
      <c r="C675" s="40">
        <v>904.37</v>
      </c>
      <c r="D675" s="20">
        <v>6.5199999999999991E-4</v>
      </c>
    </row>
    <row r="676" spans="1:4" x14ac:dyDescent="0.3">
      <c r="A676" s="19" t="s">
        <v>64</v>
      </c>
      <c r="B676" s="42" t="s">
        <v>113</v>
      </c>
      <c r="C676" s="40">
        <v>835.5</v>
      </c>
      <c r="D676" s="20">
        <v>6.02E-4</v>
      </c>
    </row>
    <row r="677" spans="1:4" x14ac:dyDescent="0.3">
      <c r="A677" s="19" t="s">
        <v>45</v>
      </c>
      <c r="B677" s="42" t="s">
        <v>113</v>
      </c>
      <c r="C677" s="40">
        <v>710.2</v>
      </c>
      <c r="D677" s="20">
        <v>5.1199999999999998E-4</v>
      </c>
    </row>
    <row r="678" spans="1:4" x14ac:dyDescent="0.3">
      <c r="A678" s="19" t="s">
        <v>57</v>
      </c>
      <c r="B678" s="42" t="s">
        <v>113</v>
      </c>
      <c r="C678" s="40">
        <v>648</v>
      </c>
      <c r="D678" s="20">
        <v>4.6699999999999997E-4</v>
      </c>
    </row>
    <row r="679" spans="1:4" x14ac:dyDescent="0.3">
      <c r="A679" s="19" t="s">
        <v>30</v>
      </c>
      <c r="B679" s="42" t="s">
        <v>113</v>
      </c>
      <c r="C679" s="40">
        <v>641.66</v>
      </c>
      <c r="D679" s="20">
        <v>4.6199999999999995E-4</v>
      </c>
    </row>
    <row r="680" spans="1:4" x14ac:dyDescent="0.3">
      <c r="A680" s="19" t="s">
        <v>67</v>
      </c>
      <c r="B680" s="42" t="s">
        <v>113</v>
      </c>
      <c r="C680" s="40">
        <v>616.46</v>
      </c>
      <c r="D680" s="20">
        <v>4.44E-4</v>
      </c>
    </row>
    <row r="681" spans="1:4" x14ac:dyDescent="0.3">
      <c r="A681" s="19" t="s">
        <v>58</v>
      </c>
      <c r="B681" s="42" t="s">
        <v>113</v>
      </c>
      <c r="C681" s="40">
        <v>560.24</v>
      </c>
      <c r="D681" s="20">
        <v>4.0400000000000001E-4</v>
      </c>
    </row>
    <row r="682" spans="1:4" x14ac:dyDescent="0.3">
      <c r="A682" s="19" t="s">
        <v>66</v>
      </c>
      <c r="B682" s="42" t="s">
        <v>113</v>
      </c>
      <c r="C682" s="40">
        <v>487.06</v>
      </c>
      <c r="D682" s="20">
        <v>3.5099999999999997E-4</v>
      </c>
    </row>
    <row r="683" spans="1:4" x14ac:dyDescent="0.3">
      <c r="A683" s="19" t="s">
        <v>37</v>
      </c>
      <c r="B683" s="42" t="s">
        <v>113</v>
      </c>
      <c r="C683" s="40">
        <v>465.16</v>
      </c>
      <c r="D683" s="20">
        <v>3.3500000000000001E-4</v>
      </c>
    </row>
    <row r="684" spans="1:4" x14ac:dyDescent="0.3">
      <c r="A684" s="19" t="s">
        <v>61</v>
      </c>
      <c r="B684" s="42" t="s">
        <v>113</v>
      </c>
      <c r="C684" s="40">
        <v>457.16</v>
      </c>
      <c r="D684" s="20">
        <v>3.2899999999999997E-4</v>
      </c>
    </row>
    <row r="685" spans="1:4" x14ac:dyDescent="0.3">
      <c r="A685" s="19" t="s">
        <v>96</v>
      </c>
      <c r="B685" s="42" t="s">
        <v>113</v>
      </c>
      <c r="C685" s="40">
        <v>428.94</v>
      </c>
      <c r="D685" s="20">
        <v>3.0900000000000003E-4</v>
      </c>
    </row>
    <row r="686" spans="1:4" x14ac:dyDescent="0.3">
      <c r="A686" s="19" t="s">
        <v>56</v>
      </c>
      <c r="B686" s="42" t="s">
        <v>113</v>
      </c>
      <c r="C686" s="40">
        <v>425.41</v>
      </c>
      <c r="D686" s="20">
        <v>3.0600000000000001E-4</v>
      </c>
    </row>
    <row r="687" spans="1:4" x14ac:dyDescent="0.3">
      <c r="A687" s="19" t="s">
        <v>47</v>
      </c>
      <c r="B687" s="42" t="s">
        <v>113</v>
      </c>
      <c r="C687" s="40">
        <v>405.64</v>
      </c>
      <c r="D687" s="20">
        <v>2.92E-4</v>
      </c>
    </row>
    <row r="688" spans="1:4" x14ac:dyDescent="0.3">
      <c r="A688" s="19" t="s">
        <v>60</v>
      </c>
      <c r="B688" s="42" t="s">
        <v>113</v>
      </c>
      <c r="C688" s="40">
        <v>374.23</v>
      </c>
      <c r="D688" s="20">
        <v>2.7E-4</v>
      </c>
    </row>
    <row r="689" spans="1:4" x14ac:dyDescent="0.3">
      <c r="A689" s="19" t="s">
        <v>59</v>
      </c>
      <c r="B689" s="42" t="s">
        <v>113</v>
      </c>
      <c r="C689" s="40">
        <v>344.66</v>
      </c>
      <c r="D689" s="20">
        <v>2.4800000000000001E-4</v>
      </c>
    </row>
    <row r="690" spans="1:4" x14ac:dyDescent="0.3">
      <c r="A690" s="19" t="s">
        <v>53</v>
      </c>
      <c r="B690" s="42" t="s">
        <v>113</v>
      </c>
      <c r="C690" s="40">
        <v>337.15</v>
      </c>
      <c r="D690" s="20">
        <v>2.43E-4</v>
      </c>
    </row>
    <row r="691" spans="1:4" x14ac:dyDescent="0.3">
      <c r="A691" s="19" t="s">
        <v>52</v>
      </c>
      <c r="B691" s="42" t="s">
        <v>113</v>
      </c>
      <c r="C691" s="40">
        <v>263.24</v>
      </c>
      <c r="D691" s="20">
        <v>1.8999999999999998E-4</v>
      </c>
    </row>
    <row r="692" spans="1:4" x14ac:dyDescent="0.3">
      <c r="A692" s="19" t="s">
        <v>55</v>
      </c>
      <c r="B692" s="42" t="s">
        <v>113</v>
      </c>
      <c r="C692" s="40">
        <v>254.72</v>
      </c>
      <c r="D692" s="20">
        <v>1.84E-4</v>
      </c>
    </row>
    <row r="693" spans="1:4" x14ac:dyDescent="0.3">
      <c r="A693" s="19" t="s">
        <v>69</v>
      </c>
      <c r="B693" s="42" t="s">
        <v>113</v>
      </c>
      <c r="C693" s="40">
        <v>242.4</v>
      </c>
      <c r="D693" s="20">
        <v>1.7500000000000003E-4</v>
      </c>
    </row>
    <row r="694" spans="1:4" x14ac:dyDescent="0.3">
      <c r="A694" s="19" t="s">
        <v>76</v>
      </c>
      <c r="B694" s="42" t="s">
        <v>113</v>
      </c>
      <c r="C694" s="40">
        <v>211.89</v>
      </c>
      <c r="D694" s="20">
        <v>1.5300000000000001E-4</v>
      </c>
    </row>
    <row r="695" spans="1:4" x14ac:dyDescent="0.3">
      <c r="A695" s="19" t="s">
        <v>72</v>
      </c>
      <c r="B695" s="42" t="s">
        <v>113</v>
      </c>
      <c r="C695" s="40">
        <v>191.78</v>
      </c>
      <c r="D695" s="20">
        <v>1.3799999999999999E-4</v>
      </c>
    </row>
    <row r="696" spans="1:4" x14ac:dyDescent="0.3">
      <c r="A696" s="19" t="s">
        <v>62</v>
      </c>
      <c r="B696" s="42" t="s">
        <v>113</v>
      </c>
      <c r="C696" s="40">
        <v>179.19</v>
      </c>
      <c r="D696" s="20">
        <v>1.2899999999999999E-4</v>
      </c>
    </row>
    <row r="697" spans="1:4" x14ac:dyDescent="0.3">
      <c r="A697" s="19" t="s">
        <v>73</v>
      </c>
      <c r="B697" s="42" t="s">
        <v>113</v>
      </c>
      <c r="C697" s="40">
        <v>133.24</v>
      </c>
      <c r="D697" s="20">
        <v>9.5999999999999989E-5</v>
      </c>
    </row>
    <row r="698" spans="1:4" x14ac:dyDescent="0.3">
      <c r="A698" s="19" t="s">
        <v>74</v>
      </c>
      <c r="B698" s="42" t="s">
        <v>113</v>
      </c>
      <c r="C698" s="40">
        <v>119.19</v>
      </c>
      <c r="D698" s="20">
        <v>8.6000000000000003E-5</v>
      </c>
    </row>
    <row r="699" spans="1:4" x14ac:dyDescent="0.3">
      <c r="A699" s="19" t="s">
        <v>79</v>
      </c>
      <c r="B699" s="42" t="s">
        <v>113</v>
      </c>
      <c r="C699" s="40">
        <v>105.64</v>
      </c>
      <c r="D699" s="20">
        <v>7.6000000000000004E-5</v>
      </c>
    </row>
    <row r="700" spans="1:4" x14ac:dyDescent="0.3">
      <c r="A700" s="19" t="s">
        <v>83</v>
      </c>
      <c r="B700" s="42" t="s">
        <v>113</v>
      </c>
      <c r="C700" s="40">
        <v>103.1</v>
      </c>
      <c r="D700" s="20">
        <v>7.400000000000001E-5</v>
      </c>
    </row>
    <row r="701" spans="1:4" x14ac:dyDescent="0.3">
      <c r="A701" s="19" t="s">
        <v>88</v>
      </c>
      <c r="B701" s="42" t="s">
        <v>113</v>
      </c>
      <c r="C701" s="40">
        <v>89.22</v>
      </c>
      <c r="D701" s="20">
        <v>6.3999999999999997E-5</v>
      </c>
    </row>
    <row r="702" spans="1:4" x14ac:dyDescent="0.3">
      <c r="A702" s="19" t="s">
        <v>65</v>
      </c>
      <c r="B702" s="42" t="s">
        <v>113</v>
      </c>
      <c r="C702" s="40">
        <v>88.56</v>
      </c>
      <c r="D702" s="20">
        <v>6.3999999999999997E-5</v>
      </c>
    </row>
    <row r="703" spans="1:4" x14ac:dyDescent="0.3">
      <c r="A703" s="19" t="s">
        <v>77</v>
      </c>
      <c r="B703" s="42" t="s">
        <v>113</v>
      </c>
      <c r="C703" s="40">
        <v>79.2</v>
      </c>
      <c r="D703" s="20">
        <v>5.7000000000000003E-5</v>
      </c>
    </row>
    <row r="704" spans="1:4" x14ac:dyDescent="0.3">
      <c r="A704" s="19" t="s">
        <v>75</v>
      </c>
      <c r="B704" s="42" t="s">
        <v>113</v>
      </c>
      <c r="C704" s="40">
        <v>76.08</v>
      </c>
      <c r="D704" s="20">
        <v>5.4999999999999995E-5</v>
      </c>
    </row>
    <row r="705" spans="1:4" x14ac:dyDescent="0.3">
      <c r="A705" s="19" t="s">
        <v>87</v>
      </c>
      <c r="B705" s="42" t="s">
        <v>113</v>
      </c>
      <c r="C705" s="40">
        <v>76.02</v>
      </c>
      <c r="D705" s="20">
        <v>5.4999999999999995E-5</v>
      </c>
    </row>
    <row r="706" spans="1:4" x14ac:dyDescent="0.3">
      <c r="A706" s="19" t="s">
        <v>71</v>
      </c>
      <c r="B706" s="42" t="s">
        <v>113</v>
      </c>
      <c r="C706" s="40">
        <v>72.599999999999994</v>
      </c>
      <c r="D706" s="20">
        <v>5.1999999999999997E-5</v>
      </c>
    </row>
    <row r="707" spans="1:4" x14ac:dyDescent="0.3">
      <c r="A707" s="19" t="s">
        <v>156</v>
      </c>
      <c r="B707" s="42" t="s">
        <v>113</v>
      </c>
      <c r="C707" s="40">
        <v>51.12</v>
      </c>
      <c r="D707" s="20">
        <v>3.7000000000000005E-5</v>
      </c>
    </row>
    <row r="708" spans="1:4" x14ac:dyDescent="0.3">
      <c r="A708" s="19" t="s">
        <v>133</v>
      </c>
      <c r="B708" s="42" t="s">
        <v>113</v>
      </c>
      <c r="C708" s="40">
        <v>42.3</v>
      </c>
      <c r="D708" s="20">
        <v>3.0000000000000001E-5</v>
      </c>
    </row>
    <row r="709" spans="1:4" x14ac:dyDescent="0.3">
      <c r="A709" s="19" t="s">
        <v>94</v>
      </c>
      <c r="B709" s="42" t="s">
        <v>113</v>
      </c>
      <c r="C709" s="40">
        <v>9.56</v>
      </c>
      <c r="D709" s="20">
        <v>6.9999999999999999E-6</v>
      </c>
    </row>
    <row r="710" spans="1:4" x14ac:dyDescent="0.3">
      <c r="A710" s="19" t="s">
        <v>2</v>
      </c>
      <c r="B710" s="42" t="s">
        <v>114</v>
      </c>
      <c r="C710" s="40">
        <v>296582.67</v>
      </c>
      <c r="D710" s="20">
        <v>0.17204999999999998</v>
      </c>
    </row>
    <row r="711" spans="1:4" x14ac:dyDescent="0.3">
      <c r="A711" s="19" t="s">
        <v>3</v>
      </c>
      <c r="B711" s="42" t="s">
        <v>114</v>
      </c>
      <c r="C711" s="40">
        <v>148179.84</v>
      </c>
      <c r="D711" s="20">
        <v>8.5960999999999996E-2</v>
      </c>
    </row>
    <row r="712" spans="1:4" x14ac:dyDescent="0.3">
      <c r="A712" s="19" t="s">
        <v>10</v>
      </c>
      <c r="B712" s="42" t="s">
        <v>114</v>
      </c>
      <c r="C712" s="40">
        <v>147712.69</v>
      </c>
      <c r="D712" s="20">
        <v>8.5690000000000002E-2</v>
      </c>
    </row>
    <row r="713" spans="1:4" x14ac:dyDescent="0.3">
      <c r="A713" s="19" t="s">
        <v>0</v>
      </c>
      <c r="B713" s="42" t="s">
        <v>114</v>
      </c>
      <c r="C713" s="40">
        <v>137496.06</v>
      </c>
      <c r="D713" s="20">
        <v>7.9763000000000001E-2</v>
      </c>
    </row>
    <row r="714" spans="1:4" x14ac:dyDescent="0.3">
      <c r="A714" s="19" t="s">
        <v>4</v>
      </c>
      <c r="B714" s="42" t="s">
        <v>114</v>
      </c>
      <c r="C714" s="40">
        <v>119945.57</v>
      </c>
      <c r="D714" s="20">
        <v>6.9581999999999991E-2</v>
      </c>
    </row>
    <row r="715" spans="1:4" x14ac:dyDescent="0.3">
      <c r="A715" s="19" t="s">
        <v>27</v>
      </c>
      <c r="B715" s="42" t="s">
        <v>114</v>
      </c>
      <c r="C715" s="40">
        <v>113642.07</v>
      </c>
      <c r="D715" s="20">
        <v>6.5924999999999997E-2</v>
      </c>
    </row>
    <row r="716" spans="1:4" x14ac:dyDescent="0.3">
      <c r="A716" s="19" t="s">
        <v>5</v>
      </c>
      <c r="B716" s="42" t="s">
        <v>114</v>
      </c>
      <c r="C716" s="40">
        <v>97860.86</v>
      </c>
      <c r="D716" s="20">
        <v>5.6769999999999994E-2</v>
      </c>
    </row>
    <row r="717" spans="1:4" x14ac:dyDescent="0.3">
      <c r="A717" s="19" t="s">
        <v>11</v>
      </c>
      <c r="B717" s="42" t="s">
        <v>114</v>
      </c>
      <c r="C717" s="40">
        <v>83647.09</v>
      </c>
      <c r="D717" s="20">
        <v>4.8524000000000005E-2</v>
      </c>
    </row>
    <row r="718" spans="1:4" x14ac:dyDescent="0.3">
      <c r="A718" s="19" t="s">
        <v>6</v>
      </c>
      <c r="B718" s="42" t="s">
        <v>114</v>
      </c>
      <c r="C718" s="40">
        <v>82144.100000000006</v>
      </c>
      <c r="D718" s="20">
        <v>4.7653000000000001E-2</v>
      </c>
    </row>
    <row r="719" spans="1:4" x14ac:dyDescent="0.3">
      <c r="A719" s="19" t="s">
        <v>12</v>
      </c>
      <c r="B719" s="42" t="s">
        <v>114</v>
      </c>
      <c r="C719" s="40">
        <v>80385.53</v>
      </c>
      <c r="D719" s="20">
        <v>4.6632E-2</v>
      </c>
    </row>
    <row r="720" spans="1:4" x14ac:dyDescent="0.3">
      <c r="A720" s="19" t="s">
        <v>1</v>
      </c>
      <c r="B720" s="42" t="s">
        <v>114</v>
      </c>
      <c r="C720" s="40">
        <v>78091.820000000007</v>
      </c>
      <c r="D720" s="20">
        <v>4.5301999999999995E-2</v>
      </c>
    </row>
    <row r="721" spans="1:4" x14ac:dyDescent="0.3">
      <c r="A721" s="19" t="s">
        <v>14</v>
      </c>
      <c r="B721" s="42" t="s">
        <v>114</v>
      </c>
      <c r="C721" s="40">
        <v>73165.06</v>
      </c>
      <c r="D721" s="20">
        <v>4.2443999999999996E-2</v>
      </c>
    </row>
    <row r="722" spans="1:4" x14ac:dyDescent="0.3">
      <c r="A722" s="19" t="s">
        <v>16</v>
      </c>
      <c r="B722" s="42" t="s">
        <v>114</v>
      </c>
      <c r="C722" s="40">
        <v>59866.66</v>
      </c>
      <c r="D722" s="20">
        <v>3.4729000000000003E-2</v>
      </c>
    </row>
    <row r="723" spans="1:4" x14ac:dyDescent="0.3">
      <c r="A723" s="19" t="s">
        <v>8</v>
      </c>
      <c r="B723" s="42" t="s">
        <v>114</v>
      </c>
      <c r="C723" s="40">
        <v>43960.44</v>
      </c>
      <c r="D723" s="20">
        <v>2.5501999999999997E-2</v>
      </c>
    </row>
    <row r="724" spans="1:4" x14ac:dyDescent="0.3">
      <c r="A724" s="19" t="s">
        <v>19</v>
      </c>
      <c r="B724" s="42" t="s">
        <v>114</v>
      </c>
      <c r="C724" s="40">
        <v>43042.86</v>
      </c>
      <c r="D724" s="20">
        <v>2.4969999999999999E-2</v>
      </c>
    </row>
    <row r="725" spans="1:4" x14ac:dyDescent="0.3">
      <c r="A725" s="19" t="s">
        <v>9</v>
      </c>
      <c r="B725" s="42" t="s">
        <v>114</v>
      </c>
      <c r="C725" s="40">
        <v>18674.91</v>
      </c>
      <c r="D725" s="20">
        <v>1.0832999999999999E-2</v>
      </c>
    </row>
    <row r="726" spans="1:4" x14ac:dyDescent="0.3">
      <c r="A726" s="19" t="s">
        <v>21</v>
      </c>
      <c r="B726" s="42" t="s">
        <v>114</v>
      </c>
      <c r="C726" s="40">
        <v>9405.36</v>
      </c>
      <c r="D726" s="20">
        <v>5.4559999999999999E-3</v>
      </c>
    </row>
    <row r="727" spans="1:4" x14ac:dyDescent="0.3">
      <c r="A727" s="19" t="s">
        <v>31</v>
      </c>
      <c r="B727" s="42" t="s">
        <v>114</v>
      </c>
      <c r="C727" s="40">
        <v>8009.26</v>
      </c>
      <c r="D727" s="20">
        <v>4.646E-3</v>
      </c>
    </row>
    <row r="728" spans="1:4" x14ac:dyDescent="0.3">
      <c r="A728" s="19" t="s">
        <v>41</v>
      </c>
      <c r="B728" s="42" t="s">
        <v>114</v>
      </c>
      <c r="C728" s="40">
        <v>8003.47</v>
      </c>
      <c r="D728" s="20">
        <v>4.6429999999999996E-3</v>
      </c>
    </row>
    <row r="729" spans="1:4" x14ac:dyDescent="0.3">
      <c r="A729" s="19" t="s">
        <v>15</v>
      </c>
      <c r="B729" s="42" t="s">
        <v>114</v>
      </c>
      <c r="C729" s="40">
        <v>7903.34</v>
      </c>
      <c r="D729" s="20">
        <v>4.5850000000000005E-3</v>
      </c>
    </row>
    <row r="730" spans="1:4" x14ac:dyDescent="0.3">
      <c r="A730" s="19" t="s">
        <v>29</v>
      </c>
      <c r="B730" s="42" t="s">
        <v>114</v>
      </c>
      <c r="C730" s="40">
        <v>7506.69</v>
      </c>
      <c r="D730" s="20">
        <v>4.3550000000000004E-3</v>
      </c>
    </row>
    <row r="731" spans="1:4" x14ac:dyDescent="0.3">
      <c r="A731" s="19" t="s">
        <v>42</v>
      </c>
      <c r="B731" s="42" t="s">
        <v>114</v>
      </c>
      <c r="C731" s="40">
        <v>7276.56</v>
      </c>
      <c r="D731" s="20">
        <v>4.2209999999999999E-3</v>
      </c>
    </row>
    <row r="732" spans="1:4" x14ac:dyDescent="0.3">
      <c r="A732" s="19" t="s">
        <v>7</v>
      </c>
      <c r="B732" s="42" t="s">
        <v>114</v>
      </c>
      <c r="C732" s="40">
        <v>5678.52</v>
      </c>
      <c r="D732" s="20">
        <v>3.2940000000000001E-3</v>
      </c>
    </row>
    <row r="733" spans="1:4" x14ac:dyDescent="0.3">
      <c r="A733" s="19" t="s">
        <v>54</v>
      </c>
      <c r="B733" s="42" t="s">
        <v>114</v>
      </c>
      <c r="C733" s="40">
        <v>5016.1000000000004</v>
      </c>
      <c r="D733" s="20">
        <v>2.9099999999999998E-3</v>
      </c>
    </row>
    <row r="734" spans="1:4" x14ac:dyDescent="0.3">
      <c r="A734" s="19" t="s">
        <v>24</v>
      </c>
      <c r="B734" s="42" t="s">
        <v>114</v>
      </c>
      <c r="C734" s="40">
        <v>3291.31</v>
      </c>
      <c r="D734" s="20">
        <v>1.9089999999999999E-3</v>
      </c>
    </row>
    <row r="735" spans="1:4" x14ac:dyDescent="0.3">
      <c r="A735" s="19" t="s">
        <v>64</v>
      </c>
      <c r="B735" s="42" t="s">
        <v>114</v>
      </c>
      <c r="C735" s="40">
        <v>2989.92</v>
      </c>
      <c r="D735" s="20">
        <v>1.7340000000000001E-3</v>
      </c>
    </row>
    <row r="736" spans="1:4" x14ac:dyDescent="0.3">
      <c r="A736" s="19" t="s">
        <v>26</v>
      </c>
      <c r="B736" s="42" t="s">
        <v>114</v>
      </c>
      <c r="C736" s="40">
        <v>2896.79</v>
      </c>
      <c r="D736" s="20">
        <v>1.6800000000000001E-3</v>
      </c>
    </row>
    <row r="737" spans="1:4" x14ac:dyDescent="0.3">
      <c r="A737" s="19" t="s">
        <v>25</v>
      </c>
      <c r="B737" s="42" t="s">
        <v>114</v>
      </c>
      <c r="C737" s="40">
        <v>2562.4699999999998</v>
      </c>
      <c r="D737" s="20">
        <v>1.487E-3</v>
      </c>
    </row>
    <row r="738" spans="1:4" x14ac:dyDescent="0.3">
      <c r="A738" s="19" t="s">
        <v>38</v>
      </c>
      <c r="B738" s="42" t="s">
        <v>114</v>
      </c>
      <c r="C738" s="40">
        <v>2490.83</v>
      </c>
      <c r="D738" s="20">
        <v>1.4449999999999999E-3</v>
      </c>
    </row>
    <row r="739" spans="1:4" x14ac:dyDescent="0.3">
      <c r="A739" s="19" t="s">
        <v>32</v>
      </c>
      <c r="B739" s="42" t="s">
        <v>114</v>
      </c>
      <c r="C739" s="40">
        <v>1928.58</v>
      </c>
      <c r="D739" s="20">
        <v>1.119E-3</v>
      </c>
    </row>
    <row r="740" spans="1:4" x14ac:dyDescent="0.3">
      <c r="A740" s="19" t="s">
        <v>52</v>
      </c>
      <c r="B740" s="42" t="s">
        <v>114</v>
      </c>
      <c r="C740" s="40">
        <v>1863.44</v>
      </c>
      <c r="D740" s="20">
        <v>1.0809999999999999E-3</v>
      </c>
    </row>
    <row r="741" spans="1:4" x14ac:dyDescent="0.3">
      <c r="A741" s="19" t="s">
        <v>40</v>
      </c>
      <c r="B741" s="42" t="s">
        <v>114</v>
      </c>
      <c r="C741" s="40">
        <v>1767.31</v>
      </c>
      <c r="D741" s="20">
        <v>1.0249999999999999E-3</v>
      </c>
    </row>
    <row r="742" spans="1:4" x14ac:dyDescent="0.3">
      <c r="A742" s="19" t="s">
        <v>23</v>
      </c>
      <c r="B742" s="42" t="s">
        <v>114</v>
      </c>
      <c r="C742" s="40">
        <v>1723.39</v>
      </c>
      <c r="D742" s="20">
        <v>1E-3</v>
      </c>
    </row>
    <row r="743" spans="1:4" x14ac:dyDescent="0.3">
      <c r="A743" s="19" t="s">
        <v>48</v>
      </c>
      <c r="B743" s="42" t="s">
        <v>114</v>
      </c>
      <c r="C743" s="40">
        <v>1707.31</v>
      </c>
      <c r="D743" s="20">
        <v>9.8999999999999999E-4</v>
      </c>
    </row>
    <row r="744" spans="1:4" x14ac:dyDescent="0.3">
      <c r="A744" s="19" t="s">
        <v>18</v>
      </c>
      <c r="B744" s="42" t="s">
        <v>114</v>
      </c>
      <c r="C744" s="40">
        <v>1541.65</v>
      </c>
      <c r="D744" s="20">
        <v>8.9399999999999994E-4</v>
      </c>
    </row>
    <row r="745" spans="1:4" x14ac:dyDescent="0.3">
      <c r="A745" s="19" t="s">
        <v>39</v>
      </c>
      <c r="B745" s="42" t="s">
        <v>114</v>
      </c>
      <c r="C745" s="40">
        <v>1326.2</v>
      </c>
      <c r="D745" s="20">
        <v>7.6899999999999994E-4</v>
      </c>
    </row>
    <row r="746" spans="1:4" x14ac:dyDescent="0.3">
      <c r="A746" s="19" t="s">
        <v>36</v>
      </c>
      <c r="B746" s="42" t="s">
        <v>114</v>
      </c>
      <c r="C746" s="40">
        <v>1011.35</v>
      </c>
      <c r="D746" s="20">
        <v>5.8700000000000007E-4</v>
      </c>
    </row>
    <row r="747" spans="1:4" x14ac:dyDescent="0.3">
      <c r="A747" s="19" t="s">
        <v>28</v>
      </c>
      <c r="B747" s="42" t="s">
        <v>114</v>
      </c>
      <c r="C747" s="40">
        <v>975.56</v>
      </c>
      <c r="D747" s="20">
        <v>5.6599999999999999E-4</v>
      </c>
    </row>
    <row r="748" spans="1:4" x14ac:dyDescent="0.3">
      <c r="A748" s="19" t="s">
        <v>57</v>
      </c>
      <c r="B748" s="42" t="s">
        <v>114</v>
      </c>
      <c r="C748" s="40">
        <v>877.5</v>
      </c>
      <c r="D748" s="20">
        <v>5.0900000000000001E-4</v>
      </c>
    </row>
    <row r="749" spans="1:4" x14ac:dyDescent="0.3">
      <c r="A749" s="19" t="s">
        <v>73</v>
      </c>
      <c r="B749" s="42" t="s">
        <v>114</v>
      </c>
      <c r="C749" s="40">
        <v>857.78</v>
      </c>
      <c r="D749" s="20">
        <v>4.9799999999999996E-4</v>
      </c>
    </row>
    <row r="750" spans="1:4" x14ac:dyDescent="0.3">
      <c r="A750" s="19" t="s">
        <v>45</v>
      </c>
      <c r="B750" s="42" t="s">
        <v>114</v>
      </c>
      <c r="C750" s="40">
        <v>845.97</v>
      </c>
      <c r="D750" s="20">
        <v>4.9100000000000001E-4</v>
      </c>
    </row>
    <row r="751" spans="1:4" x14ac:dyDescent="0.3">
      <c r="A751" s="19" t="s">
        <v>56</v>
      </c>
      <c r="B751" s="42" t="s">
        <v>114</v>
      </c>
      <c r="C751" s="40">
        <v>787.33</v>
      </c>
      <c r="D751" s="20">
        <v>4.57E-4</v>
      </c>
    </row>
    <row r="752" spans="1:4" x14ac:dyDescent="0.3">
      <c r="A752" s="19" t="s">
        <v>62</v>
      </c>
      <c r="B752" s="42" t="s">
        <v>114</v>
      </c>
      <c r="C752" s="40">
        <v>759.28</v>
      </c>
      <c r="D752" s="20">
        <v>4.3999999999999996E-4</v>
      </c>
    </row>
    <row r="753" spans="1:4" x14ac:dyDescent="0.3">
      <c r="A753" s="19" t="s">
        <v>33</v>
      </c>
      <c r="B753" s="42" t="s">
        <v>114</v>
      </c>
      <c r="C753" s="40">
        <v>723.08</v>
      </c>
      <c r="D753" s="20">
        <v>4.1899999999999999E-4</v>
      </c>
    </row>
    <row r="754" spans="1:4" x14ac:dyDescent="0.3">
      <c r="A754" s="19" t="s">
        <v>49</v>
      </c>
      <c r="B754" s="42" t="s">
        <v>114</v>
      </c>
      <c r="C754" s="40">
        <v>695.4</v>
      </c>
      <c r="D754" s="20">
        <v>4.0300000000000004E-4</v>
      </c>
    </row>
    <row r="755" spans="1:4" x14ac:dyDescent="0.3">
      <c r="A755" s="19" t="s">
        <v>30</v>
      </c>
      <c r="B755" s="42" t="s">
        <v>114</v>
      </c>
      <c r="C755" s="40">
        <v>547.91999999999996</v>
      </c>
      <c r="D755" s="20">
        <v>3.1800000000000003E-4</v>
      </c>
    </row>
    <row r="756" spans="1:4" x14ac:dyDescent="0.3">
      <c r="A756" s="19" t="s">
        <v>50</v>
      </c>
      <c r="B756" s="42" t="s">
        <v>114</v>
      </c>
      <c r="C756" s="40">
        <v>507.04</v>
      </c>
      <c r="D756" s="20">
        <v>2.9399999999999999E-4</v>
      </c>
    </row>
    <row r="757" spans="1:4" x14ac:dyDescent="0.3">
      <c r="A757" s="19" t="s">
        <v>63</v>
      </c>
      <c r="B757" s="42" t="s">
        <v>114</v>
      </c>
      <c r="C757" s="40">
        <v>495</v>
      </c>
      <c r="D757" s="20">
        <v>2.8699999999999998E-4</v>
      </c>
    </row>
    <row r="758" spans="1:4" x14ac:dyDescent="0.3">
      <c r="A758" s="19" t="s">
        <v>67</v>
      </c>
      <c r="B758" s="42" t="s">
        <v>114</v>
      </c>
      <c r="C758" s="40">
        <v>480.78</v>
      </c>
      <c r="D758" s="20">
        <v>2.7900000000000001E-4</v>
      </c>
    </row>
    <row r="759" spans="1:4" x14ac:dyDescent="0.3">
      <c r="A759" s="19" t="s">
        <v>88</v>
      </c>
      <c r="B759" s="42" t="s">
        <v>114</v>
      </c>
      <c r="C759" s="40">
        <v>464.1</v>
      </c>
      <c r="D759" s="20">
        <v>2.6899999999999998E-4</v>
      </c>
    </row>
    <row r="760" spans="1:4" x14ac:dyDescent="0.3">
      <c r="A760" s="19" t="s">
        <v>34</v>
      </c>
      <c r="B760" s="42" t="s">
        <v>114</v>
      </c>
      <c r="C760" s="40">
        <v>432.25</v>
      </c>
      <c r="D760" s="20">
        <v>2.5100000000000003E-4</v>
      </c>
    </row>
    <row r="761" spans="1:4" x14ac:dyDescent="0.3">
      <c r="A761" s="19" t="s">
        <v>47</v>
      </c>
      <c r="B761" s="42" t="s">
        <v>114</v>
      </c>
      <c r="C761" s="40">
        <v>427.05</v>
      </c>
      <c r="D761" s="20">
        <v>2.4800000000000001E-4</v>
      </c>
    </row>
    <row r="762" spans="1:4" x14ac:dyDescent="0.3">
      <c r="A762" s="19" t="s">
        <v>61</v>
      </c>
      <c r="B762" s="42" t="s">
        <v>114</v>
      </c>
      <c r="C762" s="40">
        <v>393.88</v>
      </c>
      <c r="D762" s="20">
        <v>2.2800000000000001E-4</v>
      </c>
    </row>
    <row r="763" spans="1:4" x14ac:dyDescent="0.3">
      <c r="A763" s="19" t="s">
        <v>53</v>
      </c>
      <c r="B763" s="42" t="s">
        <v>114</v>
      </c>
      <c r="C763" s="40">
        <v>366.45</v>
      </c>
      <c r="D763" s="20">
        <v>2.13E-4</v>
      </c>
    </row>
    <row r="764" spans="1:4" x14ac:dyDescent="0.3">
      <c r="A764" s="19" t="s">
        <v>58</v>
      </c>
      <c r="B764" s="42" t="s">
        <v>114</v>
      </c>
      <c r="C764" s="40">
        <v>316.13</v>
      </c>
      <c r="D764" s="20">
        <v>1.83E-4</v>
      </c>
    </row>
    <row r="765" spans="1:4" x14ac:dyDescent="0.3">
      <c r="A765" s="19" t="s">
        <v>37</v>
      </c>
      <c r="B765" s="42" t="s">
        <v>114</v>
      </c>
      <c r="C765" s="40">
        <v>298.02</v>
      </c>
      <c r="D765" s="20">
        <v>1.73E-4</v>
      </c>
    </row>
    <row r="766" spans="1:4" x14ac:dyDescent="0.3">
      <c r="A766" s="19" t="s">
        <v>66</v>
      </c>
      <c r="B766" s="42" t="s">
        <v>114</v>
      </c>
      <c r="C766" s="40">
        <v>292.24</v>
      </c>
      <c r="D766" s="20">
        <v>1.7000000000000001E-4</v>
      </c>
    </row>
    <row r="767" spans="1:4" x14ac:dyDescent="0.3">
      <c r="A767" s="19" t="s">
        <v>46</v>
      </c>
      <c r="B767" s="42" t="s">
        <v>114</v>
      </c>
      <c r="C767" s="40">
        <v>248.04</v>
      </c>
      <c r="D767" s="20">
        <v>1.44E-4</v>
      </c>
    </row>
    <row r="768" spans="1:4" x14ac:dyDescent="0.3">
      <c r="A768" s="19" t="s">
        <v>96</v>
      </c>
      <c r="B768" s="42" t="s">
        <v>114</v>
      </c>
      <c r="C768" s="40">
        <v>238.8</v>
      </c>
      <c r="D768" s="20">
        <v>1.3899999999999999E-4</v>
      </c>
    </row>
    <row r="769" spans="1:4" x14ac:dyDescent="0.3">
      <c r="A769" s="19" t="s">
        <v>17</v>
      </c>
      <c r="B769" s="42" t="s">
        <v>114</v>
      </c>
      <c r="C769" s="40">
        <v>225.79</v>
      </c>
      <c r="D769" s="20">
        <v>1.3100000000000001E-4</v>
      </c>
    </row>
    <row r="770" spans="1:4" x14ac:dyDescent="0.3">
      <c r="A770" s="19" t="s">
        <v>60</v>
      </c>
      <c r="B770" s="42" t="s">
        <v>114</v>
      </c>
      <c r="C770" s="40">
        <v>218.83</v>
      </c>
      <c r="D770" s="20">
        <v>1.27E-4</v>
      </c>
    </row>
    <row r="771" spans="1:4" x14ac:dyDescent="0.3">
      <c r="A771" s="19" t="s">
        <v>76</v>
      </c>
      <c r="B771" s="42" t="s">
        <v>114</v>
      </c>
      <c r="C771" s="40">
        <v>166.54</v>
      </c>
      <c r="D771" s="20">
        <v>9.7E-5</v>
      </c>
    </row>
    <row r="772" spans="1:4" x14ac:dyDescent="0.3">
      <c r="A772" s="19" t="s">
        <v>22</v>
      </c>
      <c r="B772" s="42" t="s">
        <v>114</v>
      </c>
      <c r="C772" s="40">
        <v>144.12</v>
      </c>
      <c r="D772" s="20">
        <v>8.3999999999999995E-5</v>
      </c>
    </row>
    <row r="773" spans="1:4" x14ac:dyDescent="0.3">
      <c r="A773" s="19" t="s">
        <v>55</v>
      </c>
      <c r="B773" s="42" t="s">
        <v>114</v>
      </c>
      <c r="C773" s="40">
        <v>115.42</v>
      </c>
      <c r="D773" s="20">
        <v>6.7000000000000002E-5</v>
      </c>
    </row>
    <row r="774" spans="1:4" x14ac:dyDescent="0.3">
      <c r="A774" s="19" t="s">
        <v>37</v>
      </c>
      <c r="B774" s="42" t="s">
        <v>114</v>
      </c>
      <c r="C774" s="40">
        <v>111.84</v>
      </c>
      <c r="D774" s="20">
        <v>6.4999999999999994E-5</v>
      </c>
    </row>
    <row r="775" spans="1:4" x14ac:dyDescent="0.3">
      <c r="A775" s="19" t="s">
        <v>71</v>
      </c>
      <c r="B775" s="42" t="s">
        <v>114</v>
      </c>
      <c r="C775" s="40">
        <v>93.96</v>
      </c>
      <c r="D775" s="20">
        <v>5.4999999999999995E-5</v>
      </c>
    </row>
    <row r="776" spans="1:4" x14ac:dyDescent="0.3">
      <c r="A776" s="19" t="s">
        <v>80</v>
      </c>
      <c r="B776" s="42" t="s">
        <v>114</v>
      </c>
      <c r="C776" s="40">
        <v>90.35</v>
      </c>
      <c r="D776" s="20">
        <v>5.1999999999999997E-5</v>
      </c>
    </row>
    <row r="777" spans="1:4" x14ac:dyDescent="0.3">
      <c r="A777" s="19" t="s">
        <v>59</v>
      </c>
      <c r="B777" s="42" t="s">
        <v>114</v>
      </c>
      <c r="C777" s="40">
        <v>78.03</v>
      </c>
      <c r="D777" s="20">
        <v>4.4999999999999996E-5</v>
      </c>
    </row>
    <row r="778" spans="1:4" x14ac:dyDescent="0.3">
      <c r="A778" s="19" t="s">
        <v>79</v>
      </c>
      <c r="B778" s="42" t="s">
        <v>114</v>
      </c>
      <c r="C778" s="40">
        <v>52.82</v>
      </c>
      <c r="D778" s="20">
        <v>3.1000000000000001E-5</v>
      </c>
    </row>
    <row r="779" spans="1:4" x14ac:dyDescent="0.3">
      <c r="A779" s="19" t="s">
        <v>72</v>
      </c>
      <c r="B779" s="42" t="s">
        <v>114</v>
      </c>
      <c r="C779" s="40">
        <v>40.85</v>
      </c>
      <c r="D779" s="20">
        <v>2.3999999999999997E-5</v>
      </c>
    </row>
    <row r="780" spans="1:4" x14ac:dyDescent="0.3">
      <c r="A780" s="19" t="s">
        <v>139</v>
      </c>
      <c r="B780" s="42" t="s">
        <v>114</v>
      </c>
      <c r="C780" s="40">
        <v>40.57</v>
      </c>
      <c r="D780" s="20">
        <v>2.3999999999999997E-5</v>
      </c>
    </row>
    <row r="781" spans="1:4" x14ac:dyDescent="0.3">
      <c r="A781" s="19" t="s">
        <v>93</v>
      </c>
      <c r="B781" s="42" t="s">
        <v>114</v>
      </c>
      <c r="C781" s="40">
        <v>39.9</v>
      </c>
      <c r="D781" s="20">
        <v>2.3E-5</v>
      </c>
    </row>
    <row r="782" spans="1:4" x14ac:dyDescent="0.3">
      <c r="A782" s="19" t="s">
        <v>133</v>
      </c>
      <c r="B782" s="42" t="s">
        <v>114</v>
      </c>
      <c r="C782" s="40">
        <v>26.4</v>
      </c>
      <c r="D782" s="20">
        <v>1.5E-5</v>
      </c>
    </row>
    <row r="783" spans="1:4" x14ac:dyDescent="0.3">
      <c r="A783" s="19" t="s">
        <v>77</v>
      </c>
      <c r="B783" s="42" t="s">
        <v>114</v>
      </c>
      <c r="C783" s="40">
        <v>17.600000000000001</v>
      </c>
      <c r="D783" s="20">
        <v>1.0000000000000001E-5</v>
      </c>
    </row>
    <row r="784" spans="1:4" x14ac:dyDescent="0.3">
      <c r="A784" s="19" t="s">
        <v>74</v>
      </c>
      <c r="B784" s="42" t="s">
        <v>114</v>
      </c>
      <c r="C784" s="40">
        <v>13.96</v>
      </c>
      <c r="D784" s="20">
        <v>7.9999999999999996E-6</v>
      </c>
    </row>
    <row r="785" spans="1:4" x14ac:dyDescent="0.3">
      <c r="A785" s="19" t="s">
        <v>83</v>
      </c>
      <c r="B785" s="42" t="s">
        <v>114</v>
      </c>
      <c r="C785" s="40">
        <v>4.6399999999999997</v>
      </c>
      <c r="D785" s="20">
        <v>2.9999999999999997E-6</v>
      </c>
    </row>
    <row r="786" spans="1:4" x14ac:dyDescent="0.3">
      <c r="A786" s="19" t="s">
        <v>100</v>
      </c>
      <c r="B786" s="42" t="s">
        <v>114</v>
      </c>
      <c r="C786" s="40">
        <v>3.47</v>
      </c>
      <c r="D786" s="20">
        <v>1.9999999999999999E-6</v>
      </c>
    </row>
    <row r="787" spans="1:4" x14ac:dyDescent="0.3">
      <c r="A787" s="19" t="s">
        <v>1</v>
      </c>
      <c r="B787" s="42" t="s">
        <v>115</v>
      </c>
      <c r="C787" s="40">
        <v>170999.25</v>
      </c>
      <c r="D787" s="20">
        <v>0.114952</v>
      </c>
    </row>
    <row r="788" spans="1:4" x14ac:dyDescent="0.3">
      <c r="A788" s="19" t="s">
        <v>2</v>
      </c>
      <c r="B788" s="42" t="s">
        <v>115</v>
      </c>
      <c r="C788" s="40">
        <v>141794.38</v>
      </c>
      <c r="D788" s="20">
        <v>9.5320000000000002E-2</v>
      </c>
    </row>
    <row r="789" spans="1:4" x14ac:dyDescent="0.3">
      <c r="A789" s="19" t="s">
        <v>0</v>
      </c>
      <c r="B789" s="42" t="s">
        <v>115</v>
      </c>
      <c r="C789" s="40">
        <v>132328.95999999999</v>
      </c>
      <c r="D789" s="20">
        <v>8.8956999999999994E-2</v>
      </c>
    </row>
    <row r="790" spans="1:4" x14ac:dyDescent="0.3">
      <c r="A790" s="19" t="s">
        <v>3</v>
      </c>
      <c r="B790" s="42" t="s">
        <v>115</v>
      </c>
      <c r="C790" s="40">
        <v>106426.99</v>
      </c>
      <c r="D790" s="20">
        <v>7.1543999999999996E-2</v>
      </c>
    </row>
    <row r="791" spans="1:4" x14ac:dyDescent="0.3">
      <c r="A791" s="19" t="s">
        <v>8</v>
      </c>
      <c r="B791" s="42" t="s">
        <v>115</v>
      </c>
      <c r="C791" s="40">
        <v>100738.72</v>
      </c>
      <c r="D791" s="20">
        <v>6.7721000000000003E-2</v>
      </c>
    </row>
    <row r="792" spans="1:4" x14ac:dyDescent="0.3">
      <c r="A792" s="19" t="s">
        <v>6</v>
      </c>
      <c r="B792" s="42" t="s">
        <v>115</v>
      </c>
      <c r="C792" s="40">
        <v>96986.09</v>
      </c>
      <c r="D792" s="20">
        <v>6.5198000000000006E-2</v>
      </c>
    </row>
    <row r="793" spans="1:4" x14ac:dyDescent="0.3">
      <c r="A793" s="19" t="s">
        <v>7</v>
      </c>
      <c r="B793" s="42" t="s">
        <v>115</v>
      </c>
      <c r="C793" s="40">
        <v>85172.08</v>
      </c>
      <c r="D793" s="20">
        <v>5.7256000000000001E-2</v>
      </c>
    </row>
    <row r="794" spans="1:4" x14ac:dyDescent="0.3">
      <c r="A794" s="19" t="s">
        <v>9</v>
      </c>
      <c r="B794" s="42" t="s">
        <v>115</v>
      </c>
      <c r="C794" s="40">
        <v>75915.11</v>
      </c>
      <c r="D794" s="20">
        <v>5.1033000000000002E-2</v>
      </c>
    </row>
    <row r="795" spans="1:4" x14ac:dyDescent="0.3">
      <c r="A795" s="19" t="s">
        <v>17</v>
      </c>
      <c r="B795" s="42" t="s">
        <v>115</v>
      </c>
      <c r="C795" s="40">
        <v>64244.71</v>
      </c>
      <c r="D795" s="20">
        <v>4.3188000000000004E-2</v>
      </c>
    </row>
    <row r="796" spans="1:4" x14ac:dyDescent="0.3">
      <c r="A796" s="19" t="s">
        <v>4</v>
      </c>
      <c r="B796" s="42" t="s">
        <v>115</v>
      </c>
      <c r="C796" s="40">
        <v>64135.41</v>
      </c>
      <c r="D796" s="20">
        <v>4.3114E-2</v>
      </c>
    </row>
    <row r="797" spans="1:4" x14ac:dyDescent="0.3">
      <c r="A797" s="19" t="s">
        <v>12</v>
      </c>
      <c r="B797" s="42" t="s">
        <v>115</v>
      </c>
      <c r="C797" s="40">
        <v>36491.230000000003</v>
      </c>
      <c r="D797" s="20">
        <v>2.4531000000000001E-2</v>
      </c>
    </row>
    <row r="798" spans="1:4" x14ac:dyDescent="0.3">
      <c r="A798" s="19" t="s">
        <v>10</v>
      </c>
      <c r="B798" s="42" t="s">
        <v>115</v>
      </c>
      <c r="C798" s="40">
        <v>34305.620000000003</v>
      </c>
      <c r="D798" s="20">
        <v>2.3061999999999999E-2</v>
      </c>
    </row>
    <row r="799" spans="1:4" x14ac:dyDescent="0.3">
      <c r="A799" s="19" t="s">
        <v>11</v>
      </c>
      <c r="B799" s="42" t="s">
        <v>115</v>
      </c>
      <c r="C799" s="40">
        <v>33426.28</v>
      </c>
      <c r="D799" s="20">
        <v>2.247E-2</v>
      </c>
    </row>
    <row r="800" spans="1:4" x14ac:dyDescent="0.3">
      <c r="A800" s="19" t="s">
        <v>14</v>
      </c>
      <c r="B800" s="42" t="s">
        <v>115</v>
      </c>
      <c r="C800" s="40">
        <v>29190.09</v>
      </c>
      <c r="D800" s="20">
        <v>1.9622999999999998E-2</v>
      </c>
    </row>
    <row r="801" spans="1:4" x14ac:dyDescent="0.3">
      <c r="A801" s="19" t="s">
        <v>27</v>
      </c>
      <c r="B801" s="42" t="s">
        <v>115</v>
      </c>
      <c r="C801" s="40">
        <v>28917.48</v>
      </c>
      <c r="D801" s="20">
        <v>1.9438999999999998E-2</v>
      </c>
    </row>
    <row r="802" spans="1:4" x14ac:dyDescent="0.3">
      <c r="A802" s="19" t="s">
        <v>15</v>
      </c>
      <c r="B802" s="42" t="s">
        <v>115</v>
      </c>
      <c r="C802" s="40">
        <v>24655.33</v>
      </c>
      <c r="D802" s="20">
        <v>1.6573999999999998E-2</v>
      </c>
    </row>
    <row r="803" spans="1:4" x14ac:dyDescent="0.3">
      <c r="A803" s="19" t="s">
        <v>5</v>
      </c>
      <c r="B803" s="42" t="s">
        <v>115</v>
      </c>
      <c r="C803" s="40">
        <v>23707.99</v>
      </c>
      <c r="D803" s="20">
        <v>1.5937E-2</v>
      </c>
    </row>
    <row r="804" spans="1:4" x14ac:dyDescent="0.3">
      <c r="A804" s="19" t="s">
        <v>24</v>
      </c>
      <c r="B804" s="42" t="s">
        <v>115</v>
      </c>
      <c r="C804" s="40">
        <v>21329.07</v>
      </c>
      <c r="D804" s="20">
        <v>1.4338E-2</v>
      </c>
    </row>
    <row r="805" spans="1:4" x14ac:dyDescent="0.3">
      <c r="A805" s="19" t="s">
        <v>28</v>
      </c>
      <c r="B805" s="42" t="s">
        <v>115</v>
      </c>
      <c r="C805" s="40">
        <v>20836.5</v>
      </c>
      <c r="D805" s="20">
        <v>1.4007E-2</v>
      </c>
    </row>
    <row r="806" spans="1:4" x14ac:dyDescent="0.3">
      <c r="A806" s="19" t="s">
        <v>54</v>
      </c>
      <c r="B806" s="42" t="s">
        <v>115</v>
      </c>
      <c r="C806" s="40">
        <v>18638.72</v>
      </c>
      <c r="D806" s="20">
        <v>1.2529999999999999E-2</v>
      </c>
    </row>
    <row r="807" spans="1:4" x14ac:dyDescent="0.3">
      <c r="A807" s="19" t="s">
        <v>18</v>
      </c>
      <c r="B807" s="42" t="s">
        <v>115</v>
      </c>
      <c r="C807" s="40">
        <v>18386.439999999999</v>
      </c>
      <c r="D807" s="20">
        <v>1.2359999999999999E-2</v>
      </c>
    </row>
    <row r="808" spans="1:4" x14ac:dyDescent="0.3">
      <c r="A808" s="19" t="s">
        <v>21</v>
      </c>
      <c r="B808" s="42" t="s">
        <v>115</v>
      </c>
      <c r="C808" s="40">
        <v>17661.759999999998</v>
      </c>
      <c r="D808" s="20">
        <v>1.1873E-2</v>
      </c>
    </row>
    <row r="809" spans="1:4" x14ac:dyDescent="0.3">
      <c r="A809" s="19" t="s">
        <v>19</v>
      </c>
      <c r="B809" s="42" t="s">
        <v>115</v>
      </c>
      <c r="C809" s="40">
        <v>15267.12</v>
      </c>
      <c r="D809" s="20">
        <v>1.0263E-2</v>
      </c>
    </row>
    <row r="810" spans="1:4" x14ac:dyDescent="0.3">
      <c r="A810" s="19" t="s">
        <v>16</v>
      </c>
      <c r="B810" s="42" t="s">
        <v>115</v>
      </c>
      <c r="C810" s="40">
        <v>15128.72</v>
      </c>
      <c r="D810" s="20">
        <v>1.0169999999999998E-2</v>
      </c>
    </row>
    <row r="811" spans="1:4" x14ac:dyDescent="0.3">
      <c r="A811" s="19" t="s">
        <v>23</v>
      </c>
      <c r="B811" s="42" t="s">
        <v>115</v>
      </c>
      <c r="C811" s="40">
        <v>14466.49</v>
      </c>
      <c r="D811" s="20">
        <v>9.725000000000001E-3</v>
      </c>
    </row>
    <row r="812" spans="1:4" x14ac:dyDescent="0.3">
      <c r="A812" s="19" t="s">
        <v>29</v>
      </c>
      <c r="B812" s="42" t="s">
        <v>115</v>
      </c>
      <c r="C812" s="40">
        <v>12645.2</v>
      </c>
      <c r="D812" s="20">
        <v>8.5009999999999999E-3</v>
      </c>
    </row>
    <row r="813" spans="1:4" x14ac:dyDescent="0.3">
      <c r="A813" s="19" t="s">
        <v>44</v>
      </c>
      <c r="B813" s="42" t="s">
        <v>115</v>
      </c>
      <c r="C813" s="40">
        <v>6751.08</v>
      </c>
      <c r="D813" s="20">
        <v>4.5379999999999995E-3</v>
      </c>
    </row>
    <row r="814" spans="1:4" x14ac:dyDescent="0.3">
      <c r="A814" s="19" t="s">
        <v>26</v>
      </c>
      <c r="B814" s="42" t="s">
        <v>115</v>
      </c>
      <c r="C814" s="40">
        <v>6492.2</v>
      </c>
      <c r="D814" s="20">
        <v>4.3639999999999998E-3</v>
      </c>
    </row>
    <row r="815" spans="1:4" x14ac:dyDescent="0.3">
      <c r="A815" s="19" t="s">
        <v>25</v>
      </c>
      <c r="B815" s="42" t="s">
        <v>115</v>
      </c>
      <c r="C815" s="40">
        <v>5528.68</v>
      </c>
      <c r="D815" s="20">
        <v>3.7169999999999998E-3</v>
      </c>
    </row>
    <row r="816" spans="1:4" x14ac:dyDescent="0.3">
      <c r="A816" s="19" t="s">
        <v>30</v>
      </c>
      <c r="B816" s="42" t="s">
        <v>115</v>
      </c>
      <c r="C816" s="40">
        <v>5469.61</v>
      </c>
      <c r="D816" s="20">
        <v>3.6770000000000001E-3</v>
      </c>
    </row>
    <row r="817" spans="1:4" x14ac:dyDescent="0.3">
      <c r="A817" s="19" t="s">
        <v>22</v>
      </c>
      <c r="B817" s="42" t="s">
        <v>115</v>
      </c>
      <c r="C817" s="40">
        <v>5221.75</v>
      </c>
      <c r="D817" s="20">
        <v>3.5099999999999997E-3</v>
      </c>
    </row>
    <row r="818" spans="1:4" x14ac:dyDescent="0.3">
      <c r="A818" s="19" t="s">
        <v>42</v>
      </c>
      <c r="B818" s="42" t="s">
        <v>115</v>
      </c>
      <c r="C818" s="40">
        <v>5018.8999999999996</v>
      </c>
      <c r="D818" s="20">
        <v>3.3739999999999998E-3</v>
      </c>
    </row>
    <row r="819" spans="1:4" x14ac:dyDescent="0.3">
      <c r="A819" s="19" t="s">
        <v>32</v>
      </c>
      <c r="B819" s="42" t="s">
        <v>115</v>
      </c>
      <c r="C819" s="40">
        <v>4200.37</v>
      </c>
      <c r="D819" s="20">
        <v>2.8239999999999997E-3</v>
      </c>
    </row>
    <row r="820" spans="1:4" x14ac:dyDescent="0.3">
      <c r="A820" s="19" t="s">
        <v>40</v>
      </c>
      <c r="B820" s="42" t="s">
        <v>115</v>
      </c>
      <c r="C820" s="40">
        <v>3633.33</v>
      </c>
      <c r="D820" s="20">
        <v>2.4420000000000002E-3</v>
      </c>
    </row>
    <row r="821" spans="1:4" x14ac:dyDescent="0.3">
      <c r="A821" s="19" t="s">
        <v>38</v>
      </c>
      <c r="B821" s="42" t="s">
        <v>115</v>
      </c>
      <c r="C821" s="40">
        <v>3173.24</v>
      </c>
      <c r="D821" s="20">
        <v>2.1329999999999999E-3</v>
      </c>
    </row>
    <row r="822" spans="1:4" x14ac:dyDescent="0.3">
      <c r="A822" s="19" t="s">
        <v>39</v>
      </c>
      <c r="B822" s="42" t="s">
        <v>115</v>
      </c>
      <c r="C822" s="40">
        <v>2997.03</v>
      </c>
      <c r="D822" s="20">
        <v>2.0150000000000003E-3</v>
      </c>
    </row>
    <row r="823" spans="1:4" x14ac:dyDescent="0.3">
      <c r="A823" s="19" t="s">
        <v>13</v>
      </c>
      <c r="B823" s="42" t="s">
        <v>115</v>
      </c>
      <c r="C823" s="40">
        <v>2686.48</v>
      </c>
      <c r="D823" s="20">
        <v>1.8060000000000001E-3</v>
      </c>
    </row>
    <row r="824" spans="1:4" x14ac:dyDescent="0.3">
      <c r="A824" s="19" t="s">
        <v>20</v>
      </c>
      <c r="B824" s="42" t="s">
        <v>115</v>
      </c>
      <c r="C824" s="40">
        <v>2648.72</v>
      </c>
      <c r="D824" s="20">
        <v>1.781E-3</v>
      </c>
    </row>
    <row r="825" spans="1:4" x14ac:dyDescent="0.3">
      <c r="A825" s="19" t="s">
        <v>41</v>
      </c>
      <c r="B825" s="42" t="s">
        <v>115</v>
      </c>
      <c r="C825" s="40">
        <v>2626.64</v>
      </c>
      <c r="D825" s="20">
        <v>1.766E-3</v>
      </c>
    </row>
    <row r="826" spans="1:4" x14ac:dyDescent="0.3">
      <c r="A826" s="19" t="s">
        <v>33</v>
      </c>
      <c r="B826" s="42" t="s">
        <v>115</v>
      </c>
      <c r="C826" s="40">
        <v>2290.09</v>
      </c>
      <c r="D826" s="20">
        <v>1.539E-3</v>
      </c>
    </row>
    <row r="827" spans="1:4" x14ac:dyDescent="0.3">
      <c r="A827" s="19" t="s">
        <v>47</v>
      </c>
      <c r="B827" s="42" t="s">
        <v>115</v>
      </c>
      <c r="C827" s="40">
        <v>2054.89</v>
      </c>
      <c r="D827" s="20">
        <v>1.3810000000000001E-3</v>
      </c>
    </row>
    <row r="828" spans="1:4" x14ac:dyDescent="0.3">
      <c r="A828" s="19" t="s">
        <v>48</v>
      </c>
      <c r="B828" s="42" t="s">
        <v>115</v>
      </c>
      <c r="C828" s="40">
        <v>1974.36</v>
      </c>
      <c r="D828" s="20">
        <v>1.3270000000000001E-3</v>
      </c>
    </row>
    <row r="829" spans="1:4" x14ac:dyDescent="0.3">
      <c r="A829" s="19" t="s">
        <v>34</v>
      </c>
      <c r="B829" s="42" t="s">
        <v>115</v>
      </c>
      <c r="C829" s="40">
        <v>1949.52</v>
      </c>
      <c r="D829" s="20">
        <v>1.3109999999999999E-3</v>
      </c>
    </row>
    <row r="830" spans="1:4" x14ac:dyDescent="0.3">
      <c r="A830" s="19" t="s">
        <v>31</v>
      </c>
      <c r="B830" s="42" t="s">
        <v>115</v>
      </c>
      <c r="C830" s="40">
        <v>1861.78</v>
      </c>
      <c r="D830" s="20">
        <v>1.2520000000000001E-3</v>
      </c>
    </row>
    <row r="831" spans="1:4" x14ac:dyDescent="0.3">
      <c r="A831" s="19" t="s">
        <v>52</v>
      </c>
      <c r="B831" s="42" t="s">
        <v>115</v>
      </c>
      <c r="C831" s="40">
        <v>1765.3</v>
      </c>
      <c r="D831" s="20">
        <v>1.1869999999999999E-3</v>
      </c>
    </row>
    <row r="832" spans="1:4" x14ac:dyDescent="0.3">
      <c r="A832" s="19" t="s">
        <v>50</v>
      </c>
      <c r="B832" s="42" t="s">
        <v>115</v>
      </c>
      <c r="C832" s="40">
        <v>1759.1</v>
      </c>
      <c r="D832" s="20">
        <v>1.183E-3</v>
      </c>
    </row>
    <row r="833" spans="1:4" x14ac:dyDescent="0.3">
      <c r="A833" s="19" t="s">
        <v>61</v>
      </c>
      <c r="B833" s="42" t="s">
        <v>115</v>
      </c>
      <c r="C833" s="40">
        <v>1229.98</v>
      </c>
      <c r="D833" s="20">
        <v>8.2699999999999994E-4</v>
      </c>
    </row>
    <row r="834" spans="1:4" x14ac:dyDescent="0.3">
      <c r="A834" s="19" t="s">
        <v>67</v>
      </c>
      <c r="B834" s="42" t="s">
        <v>115</v>
      </c>
      <c r="C834" s="40">
        <v>1151.8</v>
      </c>
      <c r="D834" s="20">
        <v>7.7399999999999995E-4</v>
      </c>
    </row>
    <row r="835" spans="1:4" x14ac:dyDescent="0.3">
      <c r="A835" s="19" t="s">
        <v>37</v>
      </c>
      <c r="B835" s="42" t="s">
        <v>115</v>
      </c>
      <c r="C835" s="40">
        <v>914.52</v>
      </c>
      <c r="D835" s="20">
        <v>6.1499999999999999E-4</v>
      </c>
    </row>
    <row r="836" spans="1:4" x14ac:dyDescent="0.3">
      <c r="A836" s="19" t="s">
        <v>49</v>
      </c>
      <c r="B836" s="42" t="s">
        <v>115</v>
      </c>
      <c r="C836" s="40">
        <v>901.68</v>
      </c>
      <c r="D836" s="20">
        <v>6.0599999999999998E-4</v>
      </c>
    </row>
    <row r="837" spans="1:4" x14ac:dyDescent="0.3">
      <c r="A837" s="19" t="s">
        <v>46</v>
      </c>
      <c r="B837" s="42" t="s">
        <v>115</v>
      </c>
      <c r="C837" s="40">
        <v>880.8</v>
      </c>
      <c r="D837" s="20">
        <v>5.9200000000000008E-4</v>
      </c>
    </row>
    <row r="838" spans="1:4" x14ac:dyDescent="0.3">
      <c r="A838" s="19" t="s">
        <v>53</v>
      </c>
      <c r="B838" s="42" t="s">
        <v>115</v>
      </c>
      <c r="C838" s="40">
        <v>785.96</v>
      </c>
      <c r="D838" s="20">
        <v>5.2800000000000004E-4</v>
      </c>
    </row>
    <row r="839" spans="1:4" x14ac:dyDescent="0.3">
      <c r="A839" s="19" t="s">
        <v>73</v>
      </c>
      <c r="B839" s="42" t="s">
        <v>115</v>
      </c>
      <c r="C839" s="40">
        <v>782.28</v>
      </c>
      <c r="D839" s="20">
        <v>5.2599999999999999E-4</v>
      </c>
    </row>
    <row r="840" spans="1:4" x14ac:dyDescent="0.3">
      <c r="A840" s="19" t="s">
        <v>64</v>
      </c>
      <c r="B840" s="42" t="s">
        <v>115</v>
      </c>
      <c r="C840" s="40">
        <v>772.8</v>
      </c>
      <c r="D840" s="20">
        <v>5.1999999999999995E-4</v>
      </c>
    </row>
    <row r="841" spans="1:4" x14ac:dyDescent="0.3">
      <c r="A841" s="19" t="s">
        <v>45</v>
      </c>
      <c r="B841" s="42" t="s">
        <v>115</v>
      </c>
      <c r="C841" s="40">
        <v>651.85</v>
      </c>
      <c r="D841" s="20">
        <v>4.3799999999999997E-4</v>
      </c>
    </row>
    <row r="842" spans="1:4" x14ac:dyDescent="0.3">
      <c r="A842" s="19" t="s">
        <v>57</v>
      </c>
      <c r="B842" s="42" t="s">
        <v>115</v>
      </c>
      <c r="C842" s="40">
        <v>634.5</v>
      </c>
      <c r="D842" s="20">
        <v>4.2700000000000002E-4</v>
      </c>
    </row>
    <row r="843" spans="1:4" x14ac:dyDescent="0.3">
      <c r="A843" s="19" t="s">
        <v>84</v>
      </c>
      <c r="B843" s="42" t="s">
        <v>115</v>
      </c>
      <c r="C843" s="40">
        <v>442</v>
      </c>
      <c r="D843" s="20">
        <v>2.9700000000000001E-4</v>
      </c>
    </row>
    <row r="844" spans="1:4" x14ac:dyDescent="0.3">
      <c r="A844" s="19" t="s">
        <v>56</v>
      </c>
      <c r="B844" s="42" t="s">
        <v>115</v>
      </c>
      <c r="C844" s="40">
        <v>421.26</v>
      </c>
      <c r="D844" s="20">
        <v>2.8299999999999999E-4</v>
      </c>
    </row>
    <row r="845" spans="1:4" x14ac:dyDescent="0.3">
      <c r="A845" s="19" t="s">
        <v>91</v>
      </c>
      <c r="B845" s="42" t="s">
        <v>115</v>
      </c>
      <c r="C845" s="40">
        <v>405.12</v>
      </c>
      <c r="D845" s="20">
        <v>2.72E-4</v>
      </c>
    </row>
    <row r="846" spans="1:4" x14ac:dyDescent="0.3">
      <c r="A846" s="19" t="s">
        <v>58</v>
      </c>
      <c r="B846" s="42" t="s">
        <v>115</v>
      </c>
      <c r="C846" s="40">
        <v>392.28</v>
      </c>
      <c r="D846" s="20">
        <v>2.6400000000000002E-4</v>
      </c>
    </row>
    <row r="847" spans="1:4" x14ac:dyDescent="0.3">
      <c r="A847" s="19" t="s">
        <v>63</v>
      </c>
      <c r="B847" s="42" t="s">
        <v>115</v>
      </c>
      <c r="C847" s="40">
        <v>295.08</v>
      </c>
      <c r="D847" s="20">
        <v>1.9800000000000002E-4</v>
      </c>
    </row>
    <row r="848" spans="1:4" x14ac:dyDescent="0.3">
      <c r="A848" s="19" t="s">
        <v>36</v>
      </c>
      <c r="B848" s="42" t="s">
        <v>115</v>
      </c>
      <c r="C848" s="40">
        <v>274.16000000000003</v>
      </c>
      <c r="D848" s="20">
        <v>1.84E-4</v>
      </c>
    </row>
    <row r="849" spans="1:4" x14ac:dyDescent="0.3">
      <c r="A849" s="19" t="s">
        <v>72</v>
      </c>
      <c r="B849" s="42" t="s">
        <v>115</v>
      </c>
      <c r="C849" s="40">
        <v>253</v>
      </c>
      <c r="D849" s="20">
        <v>1.7000000000000001E-4</v>
      </c>
    </row>
    <row r="850" spans="1:4" x14ac:dyDescent="0.3">
      <c r="A850" s="19" t="s">
        <v>88</v>
      </c>
      <c r="B850" s="42" t="s">
        <v>115</v>
      </c>
      <c r="C850" s="40">
        <v>251.37</v>
      </c>
      <c r="D850" s="20">
        <v>1.6899999999999999E-4</v>
      </c>
    </row>
    <row r="851" spans="1:4" x14ac:dyDescent="0.3">
      <c r="A851" s="19" t="s">
        <v>59</v>
      </c>
      <c r="B851" s="42" t="s">
        <v>115</v>
      </c>
      <c r="C851" s="40">
        <v>224.99</v>
      </c>
      <c r="D851" s="20">
        <v>1.5100000000000001E-4</v>
      </c>
    </row>
    <row r="852" spans="1:4" x14ac:dyDescent="0.3">
      <c r="A852" s="19" t="s">
        <v>60</v>
      </c>
      <c r="B852" s="42" t="s">
        <v>115</v>
      </c>
      <c r="C852" s="40">
        <v>216.24</v>
      </c>
      <c r="D852" s="20">
        <v>1.45E-4</v>
      </c>
    </row>
    <row r="853" spans="1:4" x14ac:dyDescent="0.3">
      <c r="A853" s="19" t="s">
        <v>76</v>
      </c>
      <c r="B853" s="42" t="s">
        <v>115</v>
      </c>
      <c r="C853" s="40">
        <v>210.71</v>
      </c>
      <c r="D853" s="20">
        <v>1.4200000000000001E-4</v>
      </c>
    </row>
    <row r="854" spans="1:4" x14ac:dyDescent="0.3">
      <c r="A854" s="19" t="s">
        <v>66</v>
      </c>
      <c r="B854" s="42" t="s">
        <v>115</v>
      </c>
      <c r="C854" s="40">
        <v>205.58</v>
      </c>
      <c r="D854" s="20">
        <v>1.3799999999999999E-4</v>
      </c>
    </row>
    <row r="855" spans="1:4" x14ac:dyDescent="0.3">
      <c r="A855" s="19" t="s">
        <v>55</v>
      </c>
      <c r="B855" s="42" t="s">
        <v>115</v>
      </c>
      <c r="C855" s="40">
        <v>203.95</v>
      </c>
      <c r="D855" s="20">
        <v>1.37E-4</v>
      </c>
    </row>
    <row r="856" spans="1:4" x14ac:dyDescent="0.3">
      <c r="A856" s="19" t="s">
        <v>74</v>
      </c>
      <c r="B856" s="42" t="s">
        <v>115</v>
      </c>
      <c r="C856" s="40">
        <v>195.97</v>
      </c>
      <c r="D856" s="20">
        <v>1.3200000000000001E-4</v>
      </c>
    </row>
    <row r="857" spans="1:4" x14ac:dyDescent="0.3">
      <c r="A857" s="19" t="s">
        <v>133</v>
      </c>
      <c r="B857" s="42" t="s">
        <v>115</v>
      </c>
      <c r="C857" s="40">
        <v>151.91999999999999</v>
      </c>
      <c r="D857" s="20">
        <v>1.0200000000000001E-4</v>
      </c>
    </row>
    <row r="858" spans="1:4" x14ac:dyDescent="0.3">
      <c r="A858" s="19" t="s">
        <v>93</v>
      </c>
      <c r="B858" s="42" t="s">
        <v>115</v>
      </c>
      <c r="C858" s="40">
        <v>119.7</v>
      </c>
      <c r="D858" s="20">
        <v>8.0000000000000007E-5</v>
      </c>
    </row>
    <row r="859" spans="1:4" x14ac:dyDescent="0.3">
      <c r="A859" s="19" t="s">
        <v>83</v>
      </c>
      <c r="B859" s="42" t="s">
        <v>115</v>
      </c>
      <c r="C859" s="40">
        <v>106.6</v>
      </c>
      <c r="D859" s="20">
        <v>7.2000000000000002E-5</v>
      </c>
    </row>
    <row r="860" spans="1:4" x14ac:dyDescent="0.3">
      <c r="A860" s="19" t="s">
        <v>37</v>
      </c>
      <c r="B860" s="42" t="s">
        <v>115</v>
      </c>
      <c r="C860" s="40">
        <v>102.52</v>
      </c>
      <c r="D860" s="20">
        <v>6.8999999999999997E-5</v>
      </c>
    </row>
    <row r="861" spans="1:4" x14ac:dyDescent="0.3">
      <c r="A861" s="19" t="s">
        <v>71</v>
      </c>
      <c r="B861" s="42" t="s">
        <v>115</v>
      </c>
      <c r="C861" s="40">
        <v>83.94</v>
      </c>
      <c r="D861" s="20">
        <v>5.5999999999999999E-5</v>
      </c>
    </row>
    <row r="862" spans="1:4" x14ac:dyDescent="0.3">
      <c r="A862" s="19" t="s">
        <v>87</v>
      </c>
      <c r="B862" s="42" t="s">
        <v>115</v>
      </c>
      <c r="C862" s="40">
        <v>68.62</v>
      </c>
      <c r="D862" s="20">
        <v>4.6E-5</v>
      </c>
    </row>
    <row r="863" spans="1:4" x14ac:dyDescent="0.3">
      <c r="A863" s="19" t="s">
        <v>69</v>
      </c>
      <c r="B863" s="42" t="s">
        <v>115</v>
      </c>
      <c r="C863" s="40">
        <v>61.41</v>
      </c>
      <c r="D863" s="20">
        <v>4.1E-5</v>
      </c>
    </row>
    <row r="864" spans="1:4" x14ac:dyDescent="0.3">
      <c r="A864" s="19" t="s">
        <v>96</v>
      </c>
      <c r="B864" s="42" t="s">
        <v>115</v>
      </c>
      <c r="C864" s="40">
        <v>50.4</v>
      </c>
      <c r="D864" s="20">
        <v>3.4E-5</v>
      </c>
    </row>
    <row r="865" spans="1:4" x14ac:dyDescent="0.3">
      <c r="A865" s="19" t="s">
        <v>94</v>
      </c>
      <c r="B865" s="42" t="s">
        <v>115</v>
      </c>
      <c r="C865" s="40">
        <v>49.38</v>
      </c>
      <c r="D865" s="20">
        <v>3.3000000000000003E-5</v>
      </c>
    </row>
    <row r="866" spans="1:4" x14ac:dyDescent="0.3">
      <c r="A866" s="19" t="s">
        <v>77</v>
      </c>
      <c r="B866" s="42" t="s">
        <v>115</v>
      </c>
      <c r="C866" s="40">
        <v>35.200000000000003</v>
      </c>
      <c r="D866" s="20">
        <v>2.3999999999999997E-5</v>
      </c>
    </row>
    <row r="867" spans="1:4" x14ac:dyDescent="0.3">
      <c r="A867" s="19" t="s">
        <v>86</v>
      </c>
      <c r="B867" s="42" t="s">
        <v>115</v>
      </c>
      <c r="C867" s="40">
        <v>29.4</v>
      </c>
      <c r="D867" s="20">
        <v>2.0000000000000002E-5</v>
      </c>
    </row>
    <row r="868" spans="1:4" x14ac:dyDescent="0.3">
      <c r="A868" s="19" t="s">
        <v>75</v>
      </c>
      <c r="B868" s="42" t="s">
        <v>115</v>
      </c>
      <c r="C868" s="40">
        <v>28.53</v>
      </c>
      <c r="D868" s="20">
        <v>1.9000000000000001E-5</v>
      </c>
    </row>
    <row r="869" spans="1:4" x14ac:dyDescent="0.3">
      <c r="A869" s="19" t="s">
        <v>139</v>
      </c>
      <c r="B869" s="42" t="s">
        <v>115</v>
      </c>
      <c r="C869" s="40">
        <v>28.28</v>
      </c>
      <c r="D869" s="20">
        <v>1.9000000000000001E-5</v>
      </c>
    </row>
    <row r="870" spans="1:4" x14ac:dyDescent="0.3">
      <c r="A870" s="19" t="s">
        <v>82</v>
      </c>
      <c r="B870" s="42" t="s">
        <v>115</v>
      </c>
      <c r="C870" s="40">
        <v>23.82</v>
      </c>
      <c r="D870" s="20">
        <v>1.5999999999999999E-5</v>
      </c>
    </row>
    <row r="871" spans="1:4" x14ac:dyDescent="0.3">
      <c r="A871" s="19" t="s">
        <v>80</v>
      </c>
      <c r="B871" s="42" t="s">
        <v>115</v>
      </c>
      <c r="C871" s="40">
        <v>21.66</v>
      </c>
      <c r="D871" s="20">
        <v>1.5E-5</v>
      </c>
    </row>
    <row r="872" spans="1:4" x14ac:dyDescent="0.3">
      <c r="A872" s="19" t="s">
        <v>81</v>
      </c>
      <c r="B872" s="42" t="s">
        <v>115</v>
      </c>
      <c r="C872" s="40">
        <v>6.8</v>
      </c>
      <c r="D872" s="20">
        <v>5.0000000000000004E-6</v>
      </c>
    </row>
  </sheetData>
  <mergeCells count="1">
    <mergeCell ref="F1:J2"/>
  </mergeCells>
  <phoneticPr fontId="3" type="noConversion"/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8397-4AF5-440C-ABEC-1A426E2DBE64}">
  <dimension ref="A1:O1771"/>
  <sheetViews>
    <sheetView topLeftCell="E3" workbookViewId="0">
      <selection activeCell="I43" sqref="I43"/>
    </sheetView>
  </sheetViews>
  <sheetFormatPr defaultColWidth="9.109375" defaultRowHeight="13.8" x14ac:dyDescent="0.3"/>
  <cols>
    <col min="1" max="1" width="44.33203125" style="3" customWidth="1"/>
    <col min="2" max="2" width="16.33203125" style="51" customWidth="1"/>
    <col min="3" max="3" width="20.88671875" style="62" customWidth="1"/>
    <col min="4" max="4" width="17.6640625" style="51" customWidth="1"/>
    <col min="5" max="5" width="17.44140625" style="51" customWidth="1"/>
    <col min="6" max="6" width="22.21875" style="3" customWidth="1"/>
    <col min="7" max="7" width="17.6640625" style="30" customWidth="1"/>
    <col min="8" max="8" width="19" style="3" customWidth="1"/>
    <col min="9" max="10" width="14.44140625" style="3" customWidth="1"/>
    <col min="11" max="11" width="6.21875" style="3" customWidth="1"/>
    <col min="12" max="12" width="35.44140625" style="3" bestFit="1" customWidth="1"/>
    <col min="13" max="14" width="19.33203125" style="3" bestFit="1" customWidth="1"/>
    <col min="15" max="16384" width="9.109375" style="3"/>
  </cols>
  <sheetData>
    <row r="1" spans="1:15" s="12" customFormat="1" ht="19.8" customHeight="1" x14ac:dyDescent="0.3">
      <c r="A1" s="48" t="s">
        <v>126</v>
      </c>
      <c r="B1" s="48" t="s">
        <v>101</v>
      </c>
      <c r="C1" s="55" t="s">
        <v>106</v>
      </c>
      <c r="D1" s="48" t="s">
        <v>105</v>
      </c>
      <c r="E1" s="49"/>
      <c r="F1" s="86" t="s">
        <v>167</v>
      </c>
      <c r="G1" s="86"/>
      <c r="H1" s="86"/>
      <c r="I1" s="86"/>
      <c r="J1" s="86"/>
      <c r="K1" s="86"/>
      <c r="L1" s="86"/>
      <c r="M1" s="86"/>
    </row>
    <row r="2" spans="1:15" ht="14.4" customHeight="1" x14ac:dyDescent="0.3">
      <c r="A2" s="45" t="s">
        <v>0</v>
      </c>
      <c r="B2" s="14" t="s">
        <v>102</v>
      </c>
      <c r="C2" s="15">
        <v>238283.02</v>
      </c>
      <c r="D2" s="46">
        <v>0.14807200000000001</v>
      </c>
      <c r="E2" s="36"/>
    </row>
    <row r="3" spans="1:15" ht="15.6" x14ac:dyDescent="0.3">
      <c r="A3" s="45" t="s">
        <v>1</v>
      </c>
      <c r="B3" s="14" t="s">
        <v>102</v>
      </c>
      <c r="C3" s="15">
        <v>228386.47</v>
      </c>
      <c r="D3" s="46">
        <v>0.14192199999999999</v>
      </c>
      <c r="E3" s="36"/>
      <c r="F3" s="36" t="s">
        <v>101</v>
      </c>
      <c r="G3" s="31" t="s">
        <v>173</v>
      </c>
      <c r="H3" s="31" t="s">
        <v>172</v>
      </c>
      <c r="I3" s="12" t="s">
        <v>144</v>
      </c>
      <c r="J3" s="36" t="s">
        <v>148</v>
      </c>
      <c r="L3" s="36" t="s">
        <v>116</v>
      </c>
      <c r="M3" s="31" t="s">
        <v>173</v>
      </c>
      <c r="N3" s="31" t="s">
        <v>172</v>
      </c>
      <c r="O3" s="12" t="s">
        <v>144</v>
      </c>
    </row>
    <row r="4" spans="1:15" ht="15.6" x14ac:dyDescent="0.3">
      <c r="A4" s="45" t="s">
        <v>2</v>
      </c>
      <c r="B4" s="14" t="s">
        <v>102</v>
      </c>
      <c r="C4" s="15">
        <v>194132.43</v>
      </c>
      <c r="D4" s="46">
        <v>0.12063700000000001</v>
      </c>
      <c r="E4" s="36"/>
      <c r="F4" s="58" t="s">
        <v>102</v>
      </c>
      <c r="G4" s="59">
        <v>1786638.61</v>
      </c>
      <c r="H4" s="59">
        <v>2197654.61</v>
      </c>
      <c r="I4" s="75">
        <f>IFERROR((Tabela214[[#This Row],[26. Resultado 2 ]]/Tabela214[[#This Row],[25. Resultado 2]]),"")</f>
        <v>0.81297516082383858</v>
      </c>
      <c r="J4" s="61">
        <v>0</v>
      </c>
      <c r="L4" s="85" t="s">
        <v>117</v>
      </c>
      <c r="M4" s="88">
        <f>SUM(G4:G7)</f>
        <v>5653656.3100000005</v>
      </c>
      <c r="N4" s="88">
        <v>9859323.1400000006</v>
      </c>
      <c r="O4" s="83">
        <f>IFERROR(Tabela315[[#This Row],[26. Resultado 2 ]]/Tabela315[[#This Row],[25. Resultado 2]],"")</f>
        <v>0.57343249934295182</v>
      </c>
    </row>
    <row r="5" spans="1:15" ht="15.6" x14ac:dyDescent="0.3">
      <c r="A5" s="45" t="s">
        <v>3</v>
      </c>
      <c r="B5" s="14" t="s">
        <v>102</v>
      </c>
      <c r="C5" s="15">
        <v>117865.18</v>
      </c>
      <c r="D5" s="46">
        <v>7.3243000000000003E-2</v>
      </c>
      <c r="E5" s="36"/>
      <c r="F5" s="58" t="s">
        <v>103</v>
      </c>
      <c r="G5" s="59">
        <v>1496232.07</v>
      </c>
      <c r="H5" s="59">
        <v>2414367.88</v>
      </c>
      <c r="I5" s="75">
        <f>IFERROR((Tabela214[[#This Row],[26. Resultado 2 ]]/Tabela214[[#This Row],[25. Resultado 2]]),"")</f>
        <v>0.61972000306763531</v>
      </c>
      <c r="J5" s="61">
        <f>IFERROR((Tabela214[[#This Row],[26. Resultado 2 ]]/G4)-1,"")</f>
        <v>-0.16254352635981595</v>
      </c>
      <c r="L5" s="85" t="s">
        <v>118</v>
      </c>
      <c r="M5" s="88">
        <f>SUM(G8:G11)</f>
        <v>0</v>
      </c>
      <c r="N5" s="88">
        <v>6181973.0999999996</v>
      </c>
      <c r="O5" s="83">
        <f>IFERROR(Tabela315[[#This Row],[26. Resultado 2 ]]/Tabela315[[#This Row],[25. Resultado 2]],"")</f>
        <v>0</v>
      </c>
    </row>
    <row r="6" spans="1:15" ht="15.6" x14ac:dyDescent="0.3">
      <c r="A6" s="45" t="s">
        <v>4</v>
      </c>
      <c r="B6" s="14" t="s">
        <v>102</v>
      </c>
      <c r="C6" s="15">
        <v>83508.83</v>
      </c>
      <c r="D6" s="46">
        <v>5.1894000000000003E-2</v>
      </c>
      <c r="E6" s="36"/>
      <c r="F6" s="58" t="s">
        <v>104</v>
      </c>
      <c r="G6" s="59">
        <v>2370785.63</v>
      </c>
      <c r="H6" s="59">
        <v>2863654.91</v>
      </c>
      <c r="I6" s="75">
        <f>IFERROR((Tabela214[[#This Row],[26. Resultado 2 ]]/Tabela214[[#This Row],[25. Resultado 2]]),"")</f>
        <v>0.82788803277975964</v>
      </c>
      <c r="J6" s="61">
        <f>IFERROR((Tabela214[[#This Row],[26. Resultado 2 ]]/G5)-1,"")</f>
        <v>0.58450395332055671</v>
      </c>
      <c r="L6" s="85" t="s">
        <v>119</v>
      </c>
      <c r="M6" s="88">
        <f>SUM(G12:G15)</f>
        <v>0</v>
      </c>
      <c r="N6" s="88">
        <v>7860525.6200000001</v>
      </c>
      <c r="O6" s="83">
        <f>IFERROR(Tabela315[[#This Row],[26. Resultado 2 ]]/Tabela315[[#This Row],[25. Resultado 2]],"")</f>
        <v>0</v>
      </c>
    </row>
    <row r="7" spans="1:15" ht="15.6" x14ac:dyDescent="0.3">
      <c r="A7" s="45" t="s">
        <v>5</v>
      </c>
      <c r="B7" s="14" t="s">
        <v>102</v>
      </c>
      <c r="C7" s="15">
        <v>78899.45</v>
      </c>
      <c r="D7" s="46">
        <v>4.9028999999999996E-2</v>
      </c>
      <c r="E7" s="36"/>
      <c r="F7" s="58" t="s">
        <v>107</v>
      </c>
      <c r="G7" s="59"/>
      <c r="H7" s="59">
        <v>2383645.7400000002</v>
      </c>
      <c r="I7" s="75">
        <f>IFERROR((Tabela214[[#This Row],[26. Resultado 2 ]]/Tabela214[[#This Row],[25. Resultado 2]]),"")</f>
        <v>0</v>
      </c>
      <c r="J7" s="61">
        <f>IFERROR((Tabela214[[#This Row],[26. Resultado 2 ]]/G6)-1,"")</f>
        <v>-1</v>
      </c>
      <c r="M7" s="89">
        <f>SUM(M4:M6)</f>
        <v>5653656.3100000005</v>
      </c>
      <c r="N7" s="89">
        <f>SUM(N4:N6)</f>
        <v>23901821.859999999</v>
      </c>
    </row>
    <row r="8" spans="1:15" ht="15.6" x14ac:dyDescent="0.3">
      <c r="A8" s="45" t="s">
        <v>6</v>
      </c>
      <c r="B8" s="14" t="s">
        <v>102</v>
      </c>
      <c r="C8" s="15">
        <v>68680.41</v>
      </c>
      <c r="D8" s="46">
        <v>4.2679000000000002E-2</v>
      </c>
      <c r="E8" s="36"/>
      <c r="F8" s="58" t="s">
        <v>108</v>
      </c>
      <c r="G8" s="59"/>
      <c r="H8" s="59">
        <v>2599591.5</v>
      </c>
      <c r="I8" s="75">
        <f>IFERROR((Tabela214[[#This Row],[26. Resultado 2 ]]/Tabela214[[#This Row],[25. Resultado 2]]),"")</f>
        <v>0</v>
      </c>
      <c r="J8" s="61" t="str">
        <f>IFERROR((Tabela214[[#This Row],[26. Resultado 2 ]]/G7)-1,"")</f>
        <v/>
      </c>
    </row>
    <row r="9" spans="1:15" ht="15.6" x14ac:dyDescent="0.3">
      <c r="A9" s="45" t="s">
        <v>7</v>
      </c>
      <c r="B9" s="14" t="s">
        <v>102</v>
      </c>
      <c r="C9" s="15">
        <v>51024.92</v>
      </c>
      <c r="D9" s="46">
        <v>3.1708E-2</v>
      </c>
      <c r="E9" s="36"/>
      <c r="F9" s="58" t="s">
        <v>109</v>
      </c>
      <c r="G9" s="59"/>
      <c r="H9" s="59">
        <v>353128.7</v>
      </c>
      <c r="I9" s="76">
        <f>IFERROR((Tabela214[[#This Row],[26. Resultado 2 ]]/Tabela214[[#This Row],[25. Resultado 2]]),"")</f>
        <v>0</v>
      </c>
      <c r="J9" s="61" t="str">
        <f>IFERROR((Tabela214[[#This Row],[26. Resultado 2 ]]/G8)-1,"")</f>
        <v/>
      </c>
    </row>
    <row r="10" spans="1:15" ht="15.6" x14ac:dyDescent="0.3">
      <c r="A10" s="45" t="s">
        <v>8</v>
      </c>
      <c r="B10" s="14" t="s">
        <v>102</v>
      </c>
      <c r="C10" s="15">
        <v>49910.54</v>
      </c>
      <c r="D10" s="46">
        <v>3.1015000000000001E-2</v>
      </c>
      <c r="E10" s="36"/>
      <c r="F10" s="58" t="s">
        <v>110</v>
      </c>
      <c r="G10" s="59"/>
      <c r="H10" s="59">
        <v>1268984.1200000001</v>
      </c>
      <c r="I10" s="76">
        <f>IFERROR((Tabela214[[#This Row],[26. Resultado 2 ]]/Tabela214[[#This Row],[25. Resultado 2]]),"")</f>
        <v>0</v>
      </c>
      <c r="J10" s="61" t="str">
        <f>IFERROR((Tabela214[[#This Row],[26. Resultado 2 ]]/G9)-1,"")</f>
        <v/>
      </c>
    </row>
    <row r="11" spans="1:15" ht="15.6" x14ac:dyDescent="0.3">
      <c r="A11" s="45" t="s">
        <v>9</v>
      </c>
      <c r="B11" s="14" t="s">
        <v>102</v>
      </c>
      <c r="C11" s="15">
        <v>45398</v>
      </c>
      <c r="D11" s="46">
        <v>2.8211E-2</v>
      </c>
      <c r="E11" s="36"/>
      <c r="F11" s="58" t="s">
        <v>111</v>
      </c>
      <c r="G11" s="59"/>
      <c r="H11" s="59">
        <v>1960268.78</v>
      </c>
      <c r="I11" s="75">
        <f>IFERROR((Tabela214[[#This Row],[26. Resultado 2 ]]/Tabela214[[#This Row],[25. Resultado 2]]),"")</f>
        <v>0</v>
      </c>
      <c r="J11" s="61" t="str">
        <f>IFERROR((Tabela214[[#This Row],[26. Resultado 2 ]]/G10)-1,"")</f>
        <v/>
      </c>
      <c r="L11" s="3" t="s">
        <v>120</v>
      </c>
      <c r="M11" s="31" t="s">
        <v>173</v>
      </c>
      <c r="N11" s="31" t="s">
        <v>172</v>
      </c>
      <c r="O11" s="3" t="s">
        <v>144</v>
      </c>
    </row>
    <row r="12" spans="1:15" ht="15.6" x14ac:dyDescent="0.3">
      <c r="A12" s="45" t="s">
        <v>10</v>
      </c>
      <c r="B12" s="14" t="s">
        <v>102</v>
      </c>
      <c r="C12" s="15">
        <v>38192.04</v>
      </c>
      <c r="D12" s="46">
        <v>2.3733000000000001E-2</v>
      </c>
      <c r="E12" s="36"/>
      <c r="F12" s="58" t="s">
        <v>112</v>
      </c>
      <c r="G12" s="59"/>
      <c r="H12" s="59">
        <v>1769818.45</v>
      </c>
      <c r="I12" s="75">
        <f>IFERROR((Tabela214[[#This Row],[26. Resultado 2 ]]/Tabela214[[#This Row],[25. Resultado 2]]),"")</f>
        <v>0</v>
      </c>
      <c r="J12" s="61" t="str">
        <f>IFERROR((Tabela214[[#This Row],[26. Resultado 2 ]]/G11)-1,"")</f>
        <v/>
      </c>
      <c r="L12" s="85" t="s">
        <v>121</v>
      </c>
      <c r="M12" s="88">
        <f>SUM(G4:G6)</f>
        <v>5653656.3100000005</v>
      </c>
      <c r="N12" s="88">
        <v>7475677.4000000004</v>
      </c>
      <c r="O12" s="83">
        <f>IFERROR(Tabela416[[#This Row],[26. Resultado 2 ]]/Tabela416[[#This Row],[25. Resultado 2]],"")</f>
        <v>0.75627344620301573</v>
      </c>
    </row>
    <row r="13" spans="1:15" ht="15.6" x14ac:dyDescent="0.3">
      <c r="A13" s="45" t="s">
        <v>11</v>
      </c>
      <c r="B13" s="14" t="s">
        <v>102</v>
      </c>
      <c r="C13" s="15">
        <v>30632.61</v>
      </c>
      <c r="D13" s="46">
        <v>1.9036000000000001E-2</v>
      </c>
      <c r="E13" s="36"/>
      <c r="F13" s="58" t="s">
        <v>113</v>
      </c>
      <c r="G13" s="59"/>
      <c r="H13" s="59">
        <v>2279625.59</v>
      </c>
      <c r="I13" s="76">
        <f>IFERROR((Tabela214[[#This Row],[26. Resultado 2 ]]/Tabela214[[#This Row],[25. Resultado 2]]),"")</f>
        <v>0</v>
      </c>
      <c r="J13" s="61" t="str">
        <f>IFERROR((Tabela214[[#This Row],[26. Resultado 2 ]]/G12)-1,"")</f>
        <v/>
      </c>
      <c r="L13" s="85" t="s">
        <v>122</v>
      </c>
      <c r="M13" s="88">
        <f>SUM(G7:G9)</f>
        <v>0</v>
      </c>
      <c r="N13" s="88">
        <v>5336365.9400000004</v>
      </c>
      <c r="O13" s="83">
        <f>IFERROR(Tabela416[[#This Row],[26. Resultado 2 ]]/Tabela416[[#This Row],[25. Resultado 2]],"")</f>
        <v>0</v>
      </c>
    </row>
    <row r="14" spans="1:15" ht="15.6" x14ac:dyDescent="0.3">
      <c r="A14" s="45" t="s">
        <v>12</v>
      </c>
      <c r="B14" s="14" t="s">
        <v>102</v>
      </c>
      <c r="C14" s="15">
        <v>30578.75</v>
      </c>
      <c r="D14" s="46">
        <v>1.9001999999999998E-2</v>
      </c>
      <c r="E14" s="36"/>
      <c r="F14" s="58" t="s">
        <v>114</v>
      </c>
      <c r="G14" s="59"/>
      <c r="H14" s="59">
        <v>1789056.91</v>
      </c>
      <c r="I14" s="76">
        <f>IFERROR((Tabela214[[#This Row],[26. Resultado 2 ]]/Tabela214[[#This Row],[25. Resultado 2]]),"")</f>
        <v>0</v>
      </c>
      <c r="J14" s="61" t="str">
        <f>IFERROR((Tabela214[[#This Row],[26. Resultado 2 ]]/G13)-1,"")</f>
        <v/>
      </c>
      <c r="L14" s="85" t="s">
        <v>123</v>
      </c>
      <c r="M14" s="88">
        <f>SUM(G10:G12)</f>
        <v>0</v>
      </c>
      <c r="N14" s="88">
        <v>4999071.3499999996</v>
      </c>
      <c r="O14" s="83">
        <f>IFERROR(Tabela416[[#This Row],[26. Resultado 2 ]]/Tabela416[[#This Row],[25. Resultado 2]],"")</f>
        <v>0</v>
      </c>
    </row>
    <row r="15" spans="1:15" ht="15.6" x14ac:dyDescent="0.3">
      <c r="A15" s="45" t="s">
        <v>13</v>
      </c>
      <c r="B15" s="14" t="s">
        <v>102</v>
      </c>
      <c r="C15" s="15">
        <v>28432.79</v>
      </c>
      <c r="D15" s="46">
        <v>1.7669000000000001E-2</v>
      </c>
      <c r="E15" s="36"/>
      <c r="F15" s="58" t="s">
        <v>115</v>
      </c>
      <c r="G15" s="59"/>
      <c r="H15" s="59">
        <v>2022024.67</v>
      </c>
      <c r="I15" s="76">
        <f>IFERROR((Tabela214[[#This Row],[26. Resultado 2 ]]/Tabela214[[#This Row],[25. Resultado 2]]),"")</f>
        <v>0</v>
      </c>
      <c r="J15" s="61" t="str">
        <f>IFERROR((Tabela214[[#This Row],[26. Resultado 2 ]]/G14)-1,"")</f>
        <v/>
      </c>
      <c r="L15" s="85" t="s">
        <v>124</v>
      </c>
      <c r="M15" s="88">
        <f>SUM(G13:G15)</f>
        <v>0</v>
      </c>
      <c r="N15" s="88">
        <v>6090707.1699999999</v>
      </c>
      <c r="O15" s="83">
        <f>IFERROR(Tabela416[[#This Row],[26. Resultado 2 ]]/Tabela416[[#This Row],[25. Resultado 2]],"")</f>
        <v>0</v>
      </c>
    </row>
    <row r="16" spans="1:15" ht="15.6" x14ac:dyDescent="0.3">
      <c r="A16" s="45" t="s">
        <v>14</v>
      </c>
      <c r="B16" s="14" t="s">
        <v>102</v>
      </c>
      <c r="C16" s="15">
        <v>26767.14</v>
      </c>
      <c r="D16" s="46">
        <v>1.6632999999999998E-2</v>
      </c>
      <c r="E16" s="36"/>
      <c r="L16" s="85"/>
      <c r="M16" s="90">
        <f>SUM(M12:M15)</f>
        <v>5653656.3100000005</v>
      </c>
      <c r="N16" s="91">
        <f>SUM(N12:N15)</f>
        <v>23901821.859999999</v>
      </c>
      <c r="O16" s="74">
        <f>M16/N16</f>
        <v>0.23653662650132398</v>
      </c>
    </row>
    <row r="17" spans="1:15" ht="15.6" x14ac:dyDescent="0.3">
      <c r="A17" s="45" t="s">
        <v>15</v>
      </c>
      <c r="B17" s="14" t="s">
        <v>102</v>
      </c>
      <c r="C17" s="15">
        <v>26524.6</v>
      </c>
      <c r="D17" s="46">
        <v>1.6483000000000001E-2</v>
      </c>
      <c r="E17" s="36"/>
    </row>
    <row r="18" spans="1:15" ht="15.6" x14ac:dyDescent="0.3">
      <c r="A18" s="45" t="s">
        <v>16</v>
      </c>
      <c r="B18" s="14" t="s">
        <v>102</v>
      </c>
      <c r="C18" s="15">
        <v>26378.97</v>
      </c>
      <c r="D18" s="46">
        <v>1.6392E-2</v>
      </c>
      <c r="E18" s="36"/>
      <c r="F18" s="86" t="s">
        <v>127</v>
      </c>
      <c r="G18" s="86"/>
      <c r="H18" s="86"/>
      <c r="I18" s="86"/>
      <c r="J18" s="86"/>
      <c r="L18" s="86" t="s">
        <v>128</v>
      </c>
      <c r="M18" s="86"/>
      <c r="N18" s="86"/>
      <c r="O18" s="86"/>
    </row>
    <row r="19" spans="1:15" ht="15.6" x14ac:dyDescent="0.3">
      <c r="A19" s="45" t="s">
        <v>17</v>
      </c>
      <c r="B19" s="14" t="s">
        <v>102</v>
      </c>
      <c r="C19" s="15">
        <v>25824.04</v>
      </c>
      <c r="D19" s="46">
        <v>1.6046999999999999E-2</v>
      </c>
      <c r="E19" s="36"/>
      <c r="F19" s="86"/>
      <c r="G19" s="86"/>
      <c r="H19" s="86"/>
      <c r="I19" s="86"/>
      <c r="J19" s="86"/>
      <c r="L19" s="86"/>
      <c r="M19" s="86"/>
      <c r="N19" s="86"/>
      <c r="O19" s="86"/>
    </row>
    <row r="20" spans="1:15" ht="15.6" x14ac:dyDescent="0.3">
      <c r="A20" s="45" t="s">
        <v>18</v>
      </c>
      <c r="B20" s="14" t="s">
        <v>102</v>
      </c>
      <c r="C20" s="15">
        <v>25359.279999999999</v>
      </c>
      <c r="D20" s="46">
        <v>1.5759000000000002E-2</v>
      </c>
      <c r="E20" s="36"/>
      <c r="L20" s="9" t="s">
        <v>129</v>
      </c>
      <c r="M20" s="34" t="s">
        <v>102</v>
      </c>
    </row>
    <row r="21" spans="1:15" ht="15.6" x14ac:dyDescent="0.3">
      <c r="A21" s="45" t="s">
        <v>19</v>
      </c>
      <c r="B21" s="14" t="s">
        <v>102</v>
      </c>
      <c r="C21" s="15">
        <v>18016.88</v>
      </c>
      <c r="D21" s="46">
        <v>1.1195999999999999E-2</v>
      </c>
      <c r="E21" s="36"/>
      <c r="F21" s="81" t="s">
        <v>150</v>
      </c>
      <c r="G21" s="32" t="s">
        <v>140</v>
      </c>
      <c r="H21" s="10" t="s">
        <v>141</v>
      </c>
      <c r="I21" s="11" t="s">
        <v>144</v>
      </c>
      <c r="J21" s="7"/>
      <c r="L21" s="12" t="s">
        <v>126</v>
      </c>
      <c r="M21" s="12" t="s">
        <v>140</v>
      </c>
      <c r="N21" s="12" t="s">
        <v>141</v>
      </c>
      <c r="O21" s="12" t="s">
        <v>144</v>
      </c>
    </row>
    <row r="22" spans="1:15" ht="15.6" x14ac:dyDescent="0.3">
      <c r="A22" s="45" t="s">
        <v>20</v>
      </c>
      <c r="B22" s="14" t="s">
        <v>102</v>
      </c>
      <c r="C22" s="15">
        <v>17160.86</v>
      </c>
      <c r="D22" s="46">
        <v>1.0664E-2</v>
      </c>
      <c r="E22" s="36"/>
      <c r="F22" s="77" t="s">
        <v>1</v>
      </c>
      <c r="G22" s="78">
        <v>2207826.35</v>
      </c>
      <c r="H22" s="78">
        <v>2242986.3199999998</v>
      </c>
      <c r="I22" s="79">
        <f>IFERROR(Tabela517[[#This Row],[25. Fat.]]/Tabela517[[#This Row],[24. Fat]],"")</f>
        <v>0.98432448308467624</v>
      </c>
      <c r="J22" s="7"/>
      <c r="L22" s="3" t="s">
        <v>0</v>
      </c>
      <c r="M22" s="5">
        <f>SUMIFS(Tabela113[Valor],Tabela113[Empresa],Tabela618[[#This Row],[Empresa]],Tabela113[Mês],$M$20)</f>
        <v>238283.02</v>
      </c>
      <c r="N22" s="5">
        <f>SUMIFS(Tabela18[Valor],Tabela18[Empresa],Tabela618[[#This Row],[Empresa]],Tabela18[Mês],'25. BANCO DE DADOS'!$M$20)</f>
        <v>264992.46000000002</v>
      </c>
      <c r="O22" s="7">
        <f>IFERROR(Tabela618[[#This Row],[25. Fat.]]/Tabela618[[#This Row],[24. Fat]],"")</f>
        <v>0.89920679252534197</v>
      </c>
    </row>
    <row r="23" spans="1:15" ht="15.6" x14ac:dyDescent="0.3">
      <c r="A23" s="45" t="s">
        <v>21</v>
      </c>
      <c r="B23" s="14" t="s">
        <v>102</v>
      </c>
      <c r="C23" s="15">
        <v>12955.07</v>
      </c>
      <c r="D23" s="46">
        <v>8.0499999999999999E-3</v>
      </c>
      <c r="E23" s="36"/>
      <c r="F23" s="77" t="s">
        <v>168</v>
      </c>
      <c r="G23" s="78">
        <v>1610592.55</v>
      </c>
      <c r="H23" s="78">
        <v>1890453.55</v>
      </c>
      <c r="I23" s="79">
        <f>IFERROR(Tabela517[[#This Row],[25. Fat.]]/Tabela517[[#This Row],[24. Fat]],"")</f>
        <v>0.85196092228767006</v>
      </c>
      <c r="J23" s="7"/>
      <c r="L23" s="3" t="s">
        <v>1</v>
      </c>
      <c r="M23" s="5">
        <f>SUMIFS(Tabela113[Valor],Tabela113[Empresa],Tabela618[[#This Row],[Empresa]],Tabela113[Mês],$M$20)</f>
        <v>228386.47</v>
      </c>
      <c r="N23" s="5">
        <f>SUMIFS(Tabela18[Valor],Tabela18[Empresa],Tabela618[[#This Row],[Empresa]],Tabela18[Mês],'25. BANCO DE DADOS'!$M$20)</f>
        <v>178015.29</v>
      </c>
      <c r="O23" s="7">
        <f>IFERROR(Tabela618[[#This Row],[25. Fat.]]/Tabela618[[#This Row],[24. Fat]],"")</f>
        <v>1.2829598513700704</v>
      </c>
    </row>
    <row r="24" spans="1:15" ht="15.6" x14ac:dyDescent="0.3">
      <c r="A24" s="45" t="s">
        <v>22</v>
      </c>
      <c r="B24" s="14" t="s">
        <v>102</v>
      </c>
      <c r="C24" s="15">
        <v>10457.98</v>
      </c>
      <c r="D24" s="46">
        <v>6.4990000000000004E-3</v>
      </c>
      <c r="E24" s="36"/>
      <c r="F24" s="77" t="s">
        <v>2</v>
      </c>
      <c r="G24" s="78">
        <v>1482113.69</v>
      </c>
      <c r="H24" s="78">
        <v>1569490.06</v>
      </c>
      <c r="I24" s="79">
        <f>IFERROR(Tabela517[[#This Row],[25. Fat.]]/Tabela517[[#This Row],[24. Fat]],"")</f>
        <v>0.94432817879713105</v>
      </c>
      <c r="J24" s="7"/>
      <c r="L24" s="3" t="s">
        <v>2</v>
      </c>
      <c r="M24" s="5">
        <f>SUMIFS(Tabela113[Valor],Tabela113[Empresa],Tabela618[[#This Row],[Empresa]],Tabela113[Mês],$M$20)</f>
        <v>194132.43</v>
      </c>
      <c r="N24" s="5">
        <f>SUMIFS(Tabela18[Valor],Tabela18[Empresa],Tabela618[[#This Row],[Empresa]],Tabela18[Mês],'25. BANCO DE DADOS'!$M$20)</f>
        <v>62739.65</v>
      </c>
      <c r="O24" s="7">
        <f>IFERROR(Tabela618[[#This Row],[25. Fat.]]/Tabela618[[#This Row],[24. Fat]],"")</f>
        <v>3.0942542714216605</v>
      </c>
    </row>
    <row r="25" spans="1:15" ht="15.6" x14ac:dyDescent="0.3">
      <c r="A25" s="45" t="s">
        <v>23</v>
      </c>
      <c r="B25" s="14" t="s">
        <v>102</v>
      </c>
      <c r="C25" s="15">
        <v>10448.66</v>
      </c>
      <c r="D25" s="46">
        <v>6.4929999999999996E-3</v>
      </c>
      <c r="E25" s="36"/>
      <c r="F25" s="77" t="s">
        <v>0</v>
      </c>
      <c r="G25" s="78">
        <v>1359487.06</v>
      </c>
      <c r="H25" s="78">
        <v>994873.55</v>
      </c>
      <c r="I25" s="80">
        <f>IFERROR(Tabela517[[#This Row],[25. Fat.]]/Tabela517[[#This Row],[24. Fat]],"")</f>
        <v>1.3664923145258008</v>
      </c>
      <c r="J25" s="7"/>
      <c r="L25" s="3" t="s">
        <v>3</v>
      </c>
      <c r="M25" s="5">
        <f>SUMIFS(Tabela113[Valor],Tabela113[Empresa],Tabela618[[#This Row],[Empresa]],Tabela113[Mês],$M$20)</f>
        <v>117865.18</v>
      </c>
      <c r="N25" s="5">
        <f>SUMIFS(Tabela18[Valor],Tabela18[Empresa],Tabela618[[#This Row],[Empresa]],Tabela18[Mês],'25. BANCO DE DADOS'!$M$20)</f>
        <v>0</v>
      </c>
      <c r="O25" s="7" t="str">
        <f>IFERROR(Tabela618[[#This Row],[25. Fat.]]/Tabela618[[#This Row],[24. Fat]],"")</f>
        <v/>
      </c>
    </row>
    <row r="26" spans="1:15" ht="15.6" x14ac:dyDescent="0.3">
      <c r="A26" s="45" t="s">
        <v>24</v>
      </c>
      <c r="B26" s="14" t="s">
        <v>102</v>
      </c>
      <c r="C26" s="15">
        <v>10427.27</v>
      </c>
      <c r="D26" s="46">
        <v>6.4800000000000005E-3</v>
      </c>
      <c r="E26" s="36"/>
      <c r="F26" s="77" t="s">
        <v>3</v>
      </c>
      <c r="G26" s="78">
        <v>966514.31</v>
      </c>
      <c r="H26" s="78">
        <v>961945.43</v>
      </c>
      <c r="I26" s="80">
        <f>IFERROR(Tabela517[[#This Row],[25. Fat.]]/Tabela517[[#This Row],[24. Fat]],"")</f>
        <v>1.0047496249345453</v>
      </c>
      <c r="J26" s="7"/>
      <c r="L26" s="3" t="s">
        <v>4</v>
      </c>
      <c r="M26" s="5">
        <f>SUMIFS(Tabela113[Valor],Tabela113[Empresa],Tabela618[[#This Row],[Empresa]],Tabela113[Mês],$M$20)</f>
        <v>83508.83</v>
      </c>
      <c r="N26" s="5">
        <f>SUMIFS(Tabela18[Valor],Tabela18[Empresa],Tabela618[[#This Row],[Empresa]],Tabela18[Mês],'25. BANCO DE DADOS'!$M$20)</f>
        <v>33300.42</v>
      </c>
      <c r="O26" s="7">
        <f>IFERROR(Tabela618[[#This Row],[25. Fat.]]/Tabela618[[#This Row],[24. Fat]],"")</f>
        <v>2.5077410435063583</v>
      </c>
    </row>
    <row r="27" spans="1:15" ht="15.6" x14ac:dyDescent="0.3">
      <c r="A27" s="45" t="s">
        <v>25</v>
      </c>
      <c r="B27" s="14" t="s">
        <v>102</v>
      </c>
      <c r="C27" s="15">
        <v>10180.219999999999</v>
      </c>
      <c r="D27" s="46">
        <v>6.3260000000000009E-3</v>
      </c>
      <c r="E27" s="36"/>
      <c r="F27" s="77" t="s">
        <v>6</v>
      </c>
      <c r="G27" s="78">
        <v>945728.26</v>
      </c>
      <c r="H27" s="78">
        <v>661745.48</v>
      </c>
      <c r="I27" s="80">
        <f>IFERROR(Tabela517[[#This Row],[25. Fat.]]/Tabela517[[#This Row],[24. Fat]],"")</f>
        <v>1.4291420018463896</v>
      </c>
      <c r="J27" s="7"/>
      <c r="L27" s="3" t="s">
        <v>5</v>
      </c>
      <c r="M27" s="5">
        <f>SUMIFS(Tabela113[Valor],Tabela113[Empresa],Tabela618[[#This Row],[Empresa]],Tabela113[Mês],$M$20)</f>
        <v>78899.45</v>
      </c>
      <c r="N27" s="5">
        <f>SUMIFS(Tabela18[Valor],Tabela18[Empresa],Tabela618[[#This Row],[Empresa]],Tabela18[Mês],'25. BANCO DE DADOS'!$M$20)</f>
        <v>15386.97</v>
      </c>
      <c r="O27" s="7">
        <f>IFERROR(Tabela618[[#This Row],[25. Fat.]]/Tabela618[[#This Row],[24. Fat]],"")</f>
        <v>5.1276794586588519</v>
      </c>
    </row>
    <row r="28" spans="1:15" ht="15.6" x14ac:dyDescent="0.3">
      <c r="A28" s="45" t="s">
        <v>26</v>
      </c>
      <c r="B28" s="14" t="s">
        <v>102</v>
      </c>
      <c r="C28" s="15">
        <v>8661.07</v>
      </c>
      <c r="D28" s="46">
        <v>5.3820000000000005E-3</v>
      </c>
      <c r="E28" s="36"/>
      <c r="F28" s="77" t="s">
        <v>8</v>
      </c>
      <c r="G28" s="78">
        <v>927288.18</v>
      </c>
      <c r="H28" s="78">
        <v>542161.1</v>
      </c>
      <c r="I28" s="80">
        <f>IFERROR(Tabela517[[#This Row],[25. Fat.]]/Tabela517[[#This Row],[24. Fat]],"")</f>
        <v>1.7103554275657182</v>
      </c>
      <c r="J28" s="7"/>
      <c r="L28" s="3" t="s">
        <v>6</v>
      </c>
      <c r="M28" s="5">
        <f>SUMIFS(Tabela113[Valor],Tabela113[Empresa],Tabela618[[#This Row],[Empresa]],Tabela113[Mês],$M$20)</f>
        <v>68680.41</v>
      </c>
      <c r="N28" s="5">
        <f>SUMIFS(Tabela18[Valor],Tabela18[Empresa],Tabela618[[#This Row],[Empresa]],Tabela18[Mês],'25. BANCO DE DADOS'!$M$20)</f>
        <v>0</v>
      </c>
      <c r="O28" s="7" t="str">
        <f>IFERROR(Tabela618[[#This Row],[25. Fat.]]/Tabela618[[#This Row],[24. Fat]],"")</f>
        <v/>
      </c>
    </row>
    <row r="29" spans="1:15" ht="15.6" x14ac:dyDescent="0.3">
      <c r="A29" s="45" t="s">
        <v>27</v>
      </c>
      <c r="B29" s="14" t="s">
        <v>102</v>
      </c>
      <c r="C29" s="15">
        <v>7848.39</v>
      </c>
      <c r="D29" s="46">
        <v>4.8770000000000003E-3</v>
      </c>
      <c r="E29" s="36"/>
      <c r="F29" s="77" t="s">
        <v>7</v>
      </c>
      <c r="G29" s="78">
        <v>433688.25</v>
      </c>
      <c r="H29" s="78">
        <v>513811.94</v>
      </c>
      <c r="I29" s="79">
        <f>IFERROR(Tabela517[[#This Row],[25. Fat.]]/Tabela517[[#This Row],[24. Fat]],"")</f>
        <v>0.84406028010948908</v>
      </c>
      <c r="J29" s="7"/>
      <c r="L29" s="3" t="s">
        <v>7</v>
      </c>
      <c r="M29" s="5">
        <f>SUMIFS(Tabela113[Valor],Tabela113[Empresa],Tabela618[[#This Row],[Empresa]],Tabela113[Mês],$M$20)</f>
        <v>51024.92</v>
      </c>
      <c r="N29" s="5">
        <v>90850.6</v>
      </c>
      <c r="O29" s="7">
        <f>IFERROR(Tabela618[[#This Row],[25. Fat.]]/Tabela618[[#This Row],[24. Fat]],"")</f>
        <v>0.56163547626542909</v>
      </c>
    </row>
    <row r="30" spans="1:15" ht="15.6" x14ac:dyDescent="0.3">
      <c r="A30" s="45" t="s">
        <v>28</v>
      </c>
      <c r="B30" s="14" t="s">
        <v>102</v>
      </c>
      <c r="C30" s="15">
        <v>7165.02</v>
      </c>
      <c r="D30" s="46">
        <v>4.4520000000000002E-3</v>
      </c>
      <c r="E30" s="36"/>
      <c r="F30" s="77" t="s">
        <v>12</v>
      </c>
      <c r="G30" s="78">
        <v>394497.77</v>
      </c>
      <c r="H30" s="78">
        <v>490458.54</v>
      </c>
      <c r="I30" s="79">
        <f>IFERROR(Tabela517[[#This Row],[25. Fat.]]/Tabela517[[#This Row],[24. Fat]],"")</f>
        <v>0.80434478722707126</v>
      </c>
      <c r="J30" s="7"/>
      <c r="L30" s="3" t="s">
        <v>8</v>
      </c>
      <c r="M30" s="5">
        <f>SUMIFS(Tabela113[Valor],Tabela113[Empresa],Tabela618[[#This Row],[Empresa]],Tabela113[Mês],$M$20)</f>
        <v>49910.54</v>
      </c>
      <c r="N30" s="5">
        <f>SUMIFS(Tabela18[Valor],Tabela18[Empresa],Tabela618[[#This Row],[Empresa]],Tabela18[Mês],'25. BANCO DE DADOS'!$M$20)</f>
        <v>105525.19</v>
      </c>
      <c r="O30" s="7">
        <f>IFERROR(Tabela618[[#This Row],[25. Fat.]]/Tabela618[[#This Row],[24. Fat]],"")</f>
        <v>0.47297275655225068</v>
      </c>
    </row>
    <row r="31" spans="1:15" ht="15.6" x14ac:dyDescent="0.3">
      <c r="A31" s="45" t="s">
        <v>29</v>
      </c>
      <c r="B31" s="14" t="s">
        <v>102</v>
      </c>
      <c r="C31" s="15">
        <v>7008.02</v>
      </c>
      <c r="D31" s="46">
        <v>4.3550000000000004E-3</v>
      </c>
      <c r="E31" s="36"/>
      <c r="F31" s="77" t="s">
        <v>10</v>
      </c>
      <c r="G31" s="78">
        <v>387173.28</v>
      </c>
      <c r="H31" s="78">
        <v>409504.38</v>
      </c>
      <c r="I31" s="79">
        <f>IFERROR(Tabela517[[#This Row],[25. Fat.]]/Tabela517[[#This Row],[24. Fat]],"")</f>
        <v>0.9454679825402601</v>
      </c>
      <c r="J31" s="7"/>
      <c r="L31" s="3" t="s">
        <v>9</v>
      </c>
      <c r="M31" s="5">
        <f>SUMIFS(Tabela113[Valor],Tabela113[Empresa],Tabela618[[#This Row],[Empresa]],Tabela113[Mês],$M$20)</f>
        <v>45398</v>
      </c>
      <c r="N31" s="5">
        <f>SUMIFS(Tabela18[Valor],Tabela18[Empresa],Tabela618[[#This Row],[Empresa]],Tabela18[Mês],'25. BANCO DE DADOS'!$M$20)</f>
        <v>78203.14</v>
      </c>
      <c r="O31" s="7">
        <f>IFERROR(Tabela618[[#This Row],[25. Fat.]]/Tabela618[[#This Row],[24. Fat]],"")</f>
        <v>0.58051377476658861</v>
      </c>
    </row>
    <row r="32" spans="1:15" ht="15.6" x14ac:dyDescent="0.3">
      <c r="A32" s="45" t="s">
        <v>30</v>
      </c>
      <c r="B32" s="14" t="s">
        <v>102</v>
      </c>
      <c r="C32" s="15">
        <v>5117.7299999999996</v>
      </c>
      <c r="D32" s="46">
        <v>3.1800000000000001E-3</v>
      </c>
      <c r="E32" s="36"/>
      <c r="F32" s="77" t="s">
        <v>9</v>
      </c>
      <c r="G32" s="78">
        <v>367568.47</v>
      </c>
      <c r="H32" s="78">
        <v>402078.19</v>
      </c>
      <c r="I32" s="82">
        <f>IFERROR(Tabela517[[#This Row],[25. Fat.]]/Tabela517[[#This Row],[24. Fat]],"")</f>
        <v>0.91417161920670198</v>
      </c>
      <c r="J32" s="7"/>
      <c r="L32" s="3" t="s">
        <v>10</v>
      </c>
      <c r="M32" s="5">
        <f>SUMIFS(Tabela113[Valor],Tabela113[Empresa],Tabela618[[#This Row],[Empresa]],Tabela113[Mês],$M$20)</f>
        <v>38192.04</v>
      </c>
      <c r="N32" s="5">
        <f>SUMIFS(Tabela18[Valor],Tabela18[Empresa],Tabela618[[#This Row],[Empresa]],Tabela18[Mês],'25. BANCO DE DADOS'!$M$20)</f>
        <v>11472.63</v>
      </c>
      <c r="O32" s="7">
        <f>IFERROR(Tabela618[[#This Row],[25. Fat.]]/Tabela618[[#This Row],[24. Fat]],"")</f>
        <v>3.3289699048953905</v>
      </c>
    </row>
    <row r="33" spans="1:15" ht="15.6" x14ac:dyDescent="0.3">
      <c r="A33" s="45" t="s">
        <v>31</v>
      </c>
      <c r="B33" s="14" t="s">
        <v>102</v>
      </c>
      <c r="C33" s="15">
        <v>4852.97</v>
      </c>
      <c r="D33" s="46">
        <v>3.0159999999999996E-3</v>
      </c>
      <c r="E33" s="36"/>
      <c r="F33" s="77" t="s">
        <v>15</v>
      </c>
      <c r="G33" s="78">
        <v>345664.83</v>
      </c>
      <c r="H33" s="78">
        <v>362256.1</v>
      </c>
      <c r="I33" s="82">
        <f>IFERROR(Tabela517[[#This Row],[25. Fat.]]/Tabela517[[#This Row],[24. Fat]],"")</f>
        <v>0.95420016391718465</v>
      </c>
      <c r="J33" s="7"/>
      <c r="L33" s="3" t="s">
        <v>11</v>
      </c>
      <c r="M33" s="5">
        <f>SUMIFS(Tabela113[Valor],Tabela113[Empresa],Tabela618[[#This Row],[Empresa]],Tabela113[Mês],$M$20)</f>
        <v>30632.61</v>
      </c>
      <c r="N33" s="5">
        <f>SUMIFS(Tabela18[Valor],Tabela18[Empresa],Tabela618[[#This Row],[Empresa]],Tabela18[Mês],'25. BANCO DE DADOS'!$M$20)</f>
        <v>13120.38</v>
      </c>
      <c r="O33" s="7">
        <f>IFERROR(Tabela618[[#This Row],[25. Fat.]]/Tabela618[[#This Row],[24. Fat]],"")</f>
        <v>2.3347349695664303</v>
      </c>
    </row>
    <row r="34" spans="1:15" ht="15.6" x14ac:dyDescent="0.3">
      <c r="A34" s="45" t="s">
        <v>32</v>
      </c>
      <c r="B34" s="14" t="s">
        <v>102</v>
      </c>
      <c r="C34" s="15">
        <v>4750.75</v>
      </c>
      <c r="D34" s="46">
        <v>2.9520000000000002E-3</v>
      </c>
      <c r="E34" s="36"/>
      <c r="F34" s="77" t="s">
        <v>20</v>
      </c>
      <c r="G34" s="78">
        <v>333908.59999999998</v>
      </c>
      <c r="H34" s="78">
        <v>355143.66</v>
      </c>
      <c r="I34" s="83">
        <f>IFERROR(Tabela517[[#This Row],[25. Fat.]]/Tabela517[[#This Row],[24. Fat]],"")</f>
        <v>0.94020712632178205</v>
      </c>
      <c r="J34" s="7"/>
      <c r="L34" s="3" t="s">
        <v>12</v>
      </c>
      <c r="M34" s="5">
        <f>SUMIFS(Tabela113[Valor],Tabela113[Empresa],Tabela618[[#This Row],[Empresa]],Tabela113[Mês],$M$20)</f>
        <v>30578.75</v>
      </c>
      <c r="N34" s="5">
        <f>SUMIFS(Tabela18[Valor],Tabela18[Empresa],Tabela618[[#This Row],[Empresa]],Tabela18[Mês],'25. BANCO DE DADOS'!$M$20)</f>
        <v>37124.160000000003</v>
      </c>
      <c r="O34" s="7">
        <f>IFERROR(Tabela618[[#This Row],[25. Fat.]]/Tabela618[[#This Row],[24. Fat]],"")</f>
        <v>0.82368867066621831</v>
      </c>
    </row>
    <row r="35" spans="1:15" ht="15.6" x14ac:dyDescent="0.3">
      <c r="A35" s="45" t="s">
        <v>33</v>
      </c>
      <c r="B35" s="14" t="s">
        <v>102</v>
      </c>
      <c r="C35" s="15">
        <v>4481.38</v>
      </c>
      <c r="D35" s="46">
        <v>2.7850000000000001E-3</v>
      </c>
      <c r="E35" s="36"/>
      <c r="F35" s="77" t="s">
        <v>16</v>
      </c>
      <c r="G35" s="78">
        <v>320079.12</v>
      </c>
      <c r="H35" s="78">
        <v>343913.59</v>
      </c>
      <c r="I35" s="83">
        <f>IFERROR(Tabela517[[#This Row],[25. Fat.]]/Tabela517[[#This Row],[24. Fat]],"")</f>
        <v>0.93069634148508051</v>
      </c>
      <c r="J35" s="7"/>
      <c r="L35" s="3" t="s">
        <v>13</v>
      </c>
      <c r="M35" s="5">
        <f>SUMIFS(Tabela113[Valor],Tabela113[Empresa],Tabela618[[#This Row],[Empresa]],Tabela113[Mês],$M$20)</f>
        <v>28432.79</v>
      </c>
      <c r="N35" s="5">
        <f>SUMIFS(Tabela18[Valor],Tabela18[Empresa],Tabela618[[#This Row],[Empresa]],Tabela18[Mês],'25. BANCO DE DADOS'!$M$20)</f>
        <v>0</v>
      </c>
      <c r="O35" s="7" t="str">
        <f>IFERROR(Tabela618[[#This Row],[25. Fat.]]/Tabela618[[#This Row],[24. Fat]],"")</f>
        <v/>
      </c>
    </row>
    <row r="36" spans="1:15" ht="15.6" x14ac:dyDescent="0.3">
      <c r="A36" s="45" t="s">
        <v>34</v>
      </c>
      <c r="B36" s="14" t="s">
        <v>102</v>
      </c>
      <c r="C36" s="15">
        <v>4352.6099999999997</v>
      </c>
      <c r="D36" s="46">
        <v>2.7050000000000004E-3</v>
      </c>
      <c r="E36" s="36"/>
      <c r="F36" s="77" t="s">
        <v>5</v>
      </c>
      <c r="G36" s="78">
        <v>318617.12</v>
      </c>
      <c r="H36" s="78">
        <v>227756.18</v>
      </c>
      <c r="I36" s="83">
        <f>IFERROR(Tabela517[[#This Row],[25. Fat.]]/Tabela517[[#This Row],[24. Fat]],"")</f>
        <v>1.398939515055091</v>
      </c>
      <c r="J36" s="7"/>
      <c r="L36" s="3" t="s">
        <v>14</v>
      </c>
      <c r="M36" s="5">
        <f>SUMIFS(Tabela113[Valor],Tabela113[Empresa],Tabela618[[#This Row],[Empresa]],Tabela113[Mês],$M$20)</f>
        <v>26767.14</v>
      </c>
      <c r="N36" s="5">
        <f>SUMIFS(Tabela18[Valor],Tabela18[Empresa],Tabela618[[#This Row],[Empresa]],Tabela18[Mês],'25. BANCO DE DADOS'!$M$20)</f>
        <v>5546.26</v>
      </c>
      <c r="O36" s="7">
        <f>IFERROR(Tabela618[[#This Row],[25. Fat.]]/Tabela618[[#This Row],[24. Fat]],"")</f>
        <v>4.8261603314666095</v>
      </c>
    </row>
    <row r="37" spans="1:15" ht="15.6" x14ac:dyDescent="0.3">
      <c r="A37" s="45" t="s">
        <v>35</v>
      </c>
      <c r="B37" s="14" t="s">
        <v>102</v>
      </c>
      <c r="C37" s="15">
        <v>4215.4399999999996</v>
      </c>
      <c r="D37" s="46">
        <v>2.6199999999999999E-3</v>
      </c>
      <c r="E37" s="36"/>
      <c r="F37" s="77" t="s">
        <v>11</v>
      </c>
      <c r="G37" s="78">
        <v>305166.81</v>
      </c>
      <c r="H37" s="78">
        <v>190948.18</v>
      </c>
      <c r="I37" s="83">
        <f>IFERROR(Tabela517[[#This Row],[25. Fat.]]/Tabela517[[#This Row],[24. Fat]],"")</f>
        <v>1.5981655860768089</v>
      </c>
      <c r="J37" s="7"/>
      <c r="L37" s="3" t="s">
        <v>15</v>
      </c>
      <c r="M37" s="5">
        <f>SUMIFS(Tabela113[Valor],Tabela113[Empresa],Tabela618[[#This Row],[Empresa]],Tabela113[Mês],$M$20)</f>
        <v>26524.6</v>
      </c>
      <c r="N37" s="5">
        <f>SUMIFS(Tabela18[Valor],Tabela18[Empresa],Tabela618[[#This Row],[Empresa]],Tabela18[Mês],'25. BANCO DE DADOS'!$M$20)</f>
        <v>13213.33</v>
      </c>
      <c r="O37" s="7">
        <f>IFERROR(Tabela618[[#This Row],[25. Fat.]]/Tabela618[[#This Row],[24. Fat]],"")</f>
        <v>2.0074122117588828</v>
      </c>
    </row>
    <row r="38" spans="1:15" ht="15.6" x14ac:dyDescent="0.3">
      <c r="A38" s="45" t="s">
        <v>36</v>
      </c>
      <c r="B38" s="14" t="s">
        <v>102</v>
      </c>
      <c r="C38" s="15">
        <v>3845.04</v>
      </c>
      <c r="D38" s="46">
        <v>2.3890000000000001E-3</v>
      </c>
      <c r="E38" s="36"/>
      <c r="F38" s="77" t="s">
        <v>13</v>
      </c>
      <c r="G38" s="78">
        <v>304795.14</v>
      </c>
      <c r="H38" s="78">
        <v>163739.17000000001</v>
      </c>
      <c r="I38" s="83">
        <f>IFERROR(Tabela517[[#This Row],[25. Fat.]]/Tabela517[[#This Row],[24. Fat]],"")</f>
        <v>1.8614674790399877</v>
      </c>
      <c r="J38" s="7"/>
      <c r="L38" s="3" t="s">
        <v>16</v>
      </c>
      <c r="M38" s="5">
        <f>SUMIFS(Tabela113[Valor],Tabela113[Empresa],Tabela618[[#This Row],[Empresa]],Tabela113[Mês],$M$20)</f>
        <v>26378.97</v>
      </c>
      <c r="N38" s="5">
        <f>SUMIFS(Tabela18[Valor],Tabela18[Empresa],Tabela618[[#This Row],[Empresa]],Tabela18[Mês],'25. BANCO DE DADOS'!$M$20)</f>
        <v>8099</v>
      </c>
      <c r="O38" s="7">
        <f>IFERROR(Tabela618[[#This Row],[25. Fat.]]/Tabela618[[#This Row],[24. Fat]],"")</f>
        <v>3.257065069761699</v>
      </c>
    </row>
    <row r="39" spans="1:15" ht="15.6" x14ac:dyDescent="0.3">
      <c r="A39" s="45" t="s">
        <v>37</v>
      </c>
      <c r="B39" s="14" t="s">
        <v>102</v>
      </c>
      <c r="C39" s="15">
        <v>3232.97</v>
      </c>
      <c r="D39" s="46">
        <v>2.0089999999999999E-3</v>
      </c>
      <c r="E39" s="36"/>
      <c r="F39" s="77" t="s">
        <v>14</v>
      </c>
      <c r="G39" s="78">
        <v>295326.36</v>
      </c>
      <c r="H39" s="78">
        <v>97668.37</v>
      </c>
      <c r="I39" s="83">
        <f>IFERROR(Tabela517[[#This Row],[25. Fat.]]/Tabela517[[#This Row],[24. Fat]],"")</f>
        <v>3.0237666503495451</v>
      </c>
      <c r="J39" s="7"/>
      <c r="L39" s="3" t="s">
        <v>17</v>
      </c>
      <c r="M39" s="5">
        <f>SUMIFS(Tabela113[Valor],Tabela113[Empresa],Tabela618[[#This Row],[Empresa]],Tabela113[Mês],$M$20)</f>
        <v>25824.04</v>
      </c>
      <c r="N39" s="5">
        <f>SUMIFS(Tabela18[Valor],Tabela18[Empresa],Tabela618[[#This Row],[Empresa]],Tabela18[Mês],'25. BANCO DE DADOS'!$M$20)</f>
        <v>44556.61</v>
      </c>
      <c r="O39" s="7">
        <f>IFERROR(Tabela618[[#This Row],[25. Fat.]]/Tabela618[[#This Row],[24. Fat]],"")</f>
        <v>0.57957820399711735</v>
      </c>
    </row>
    <row r="40" spans="1:15" ht="15.6" x14ac:dyDescent="0.3">
      <c r="A40" s="45" t="s">
        <v>38</v>
      </c>
      <c r="B40" s="14" t="s">
        <v>102</v>
      </c>
      <c r="C40" s="15">
        <v>2993.08</v>
      </c>
      <c r="D40" s="46">
        <v>1.8599999999999999E-3</v>
      </c>
      <c r="E40" s="36"/>
      <c r="F40" s="77" t="s">
        <v>17</v>
      </c>
      <c r="G40" s="78">
        <v>213676.22</v>
      </c>
      <c r="H40" s="78">
        <v>92178.42</v>
      </c>
      <c r="I40" s="83">
        <f>IFERROR(Tabela517[[#This Row],[25. Fat.]]/Tabela517[[#This Row],[24. Fat]],"")</f>
        <v>2.3180720606840519</v>
      </c>
      <c r="J40" s="7"/>
      <c r="L40" s="3" t="s">
        <v>18</v>
      </c>
      <c r="M40" s="5">
        <f>SUMIFS(Tabela113[Valor],Tabela113[Empresa],Tabela618[[#This Row],[Empresa]],Tabela113[Mês],$M$20)</f>
        <v>25359.279999999999</v>
      </c>
      <c r="N40" s="5">
        <f>SUMIFS(Tabela18[Valor],Tabela18[Empresa],Tabela618[[#This Row],[Empresa]],Tabela18[Mês],'25. BANCO DE DADOS'!$M$20)</f>
        <v>5949.22</v>
      </c>
      <c r="O40" s="7">
        <f>IFERROR(Tabela618[[#This Row],[25. Fat.]]/Tabela618[[#This Row],[24. Fat]],"")</f>
        <v>4.2626226631390329</v>
      </c>
    </row>
    <row r="41" spans="1:15" ht="15.6" x14ac:dyDescent="0.3">
      <c r="A41" s="45" t="s">
        <v>39</v>
      </c>
      <c r="B41" s="14" t="s">
        <v>102</v>
      </c>
      <c r="C41" s="15">
        <v>2856.44</v>
      </c>
      <c r="D41" s="46">
        <v>1.7749999999999999E-3</v>
      </c>
      <c r="E41" s="36"/>
      <c r="F41" s="77" t="s">
        <v>146</v>
      </c>
      <c r="G41" s="78">
        <v>164429.09</v>
      </c>
      <c r="H41" s="78">
        <v>90850.6</v>
      </c>
      <c r="I41" s="83">
        <f>IFERROR(Tabela517[[#This Row],[25. Fat.]]/Tabela517[[#This Row],[24. Fat]],"")</f>
        <v>1.809884469667784</v>
      </c>
      <c r="J41" s="7"/>
      <c r="L41" s="3" t="s">
        <v>19</v>
      </c>
      <c r="M41" s="5">
        <f>SUMIFS(Tabela113[Valor],Tabela113[Empresa],Tabela618[[#This Row],[Empresa]],Tabela113[Mês],$M$20)</f>
        <v>18016.88</v>
      </c>
      <c r="N41" s="5">
        <f>SUMIFS(Tabela18[Valor],Tabela18[Empresa],Tabela618[[#This Row],[Empresa]],Tabela18[Mês],'25. BANCO DE DADOS'!$M$20)</f>
        <v>0</v>
      </c>
      <c r="O41" s="7" t="str">
        <f>IFERROR(Tabela618[[#This Row],[25. Fat.]]/Tabela618[[#This Row],[24. Fat]],"")</f>
        <v/>
      </c>
    </row>
    <row r="42" spans="1:15" ht="15.6" x14ac:dyDescent="0.3">
      <c r="A42" s="45" t="s">
        <v>40</v>
      </c>
      <c r="B42" s="14" t="s">
        <v>102</v>
      </c>
      <c r="C42" s="15">
        <v>2461.98</v>
      </c>
      <c r="D42" s="46">
        <v>1.5299999999999999E-3</v>
      </c>
      <c r="E42" s="36"/>
      <c r="F42" s="77" t="s">
        <v>160</v>
      </c>
      <c r="G42" s="78">
        <v>145387.47</v>
      </c>
      <c r="H42" s="78">
        <v>90762.75</v>
      </c>
      <c r="I42" s="83">
        <f>IFERROR(Tabela517[[#This Row],[25. Fat.]]/Tabela517[[#This Row],[24. Fat]],"")</f>
        <v>1.6018407331201401</v>
      </c>
      <c r="J42" s="7"/>
      <c r="L42" s="3" t="s">
        <v>20</v>
      </c>
      <c r="M42" s="5">
        <f>SUMIFS(Tabela113[Valor],Tabela113[Empresa],Tabela618[[#This Row],[Empresa]],Tabela113[Mês],$M$20)</f>
        <v>17160.86</v>
      </c>
      <c r="N42" s="5">
        <f>SUMIFS(Tabela18[Valor],Tabela18[Empresa],Tabela618[[#This Row],[Empresa]],Tabela18[Mês],'25. BANCO DE DADOS'!$M$20)</f>
        <v>0</v>
      </c>
      <c r="O42" s="7" t="str">
        <f>IFERROR(Tabela618[[#This Row],[25. Fat.]]/Tabela618[[#This Row],[24. Fat]],"")</f>
        <v/>
      </c>
    </row>
    <row r="43" spans="1:15" ht="15.6" x14ac:dyDescent="0.3">
      <c r="A43" s="45" t="s">
        <v>41</v>
      </c>
      <c r="B43" s="14" t="s">
        <v>102</v>
      </c>
      <c r="C43" s="15">
        <v>2346.42</v>
      </c>
      <c r="D43" s="46">
        <v>1.4580000000000001E-3</v>
      </c>
      <c r="E43" s="36"/>
      <c r="F43" s="77" t="s">
        <v>19</v>
      </c>
      <c r="G43" s="78">
        <v>131827.54</v>
      </c>
      <c r="H43" s="78">
        <v>89796.17</v>
      </c>
      <c r="I43" s="83">
        <f>IFERROR(Tabela517[[#This Row],[25. Fat.]]/Tabela517[[#This Row],[24. Fat]],"")</f>
        <v>1.4680753087798735</v>
      </c>
      <c r="J43" s="7"/>
      <c r="L43" s="3" t="s">
        <v>21</v>
      </c>
      <c r="M43" s="5">
        <f>SUMIFS(Tabela113[Valor],Tabela113[Empresa],Tabela618[[#This Row],[Empresa]],Tabela113[Mês],$M$20)</f>
        <v>12955.07</v>
      </c>
      <c r="N43" s="5">
        <f>SUMIFS(Tabela18[Valor],Tabela18[Empresa],Tabela618[[#This Row],[Empresa]],Tabela18[Mês],'25. BANCO DE DADOS'!$M$20)</f>
        <v>3350</v>
      </c>
      <c r="O43" s="7">
        <f>IFERROR(Tabela618[[#This Row],[25. Fat.]]/Tabela618[[#This Row],[24. Fat]],"")</f>
        <v>3.8671850746268657</v>
      </c>
    </row>
    <row r="44" spans="1:15" ht="15.6" x14ac:dyDescent="0.3">
      <c r="A44" s="45" t="s">
        <v>42</v>
      </c>
      <c r="B44" s="14" t="s">
        <v>102</v>
      </c>
      <c r="C44" s="15">
        <v>2344.7399999999998</v>
      </c>
      <c r="D44" s="46">
        <v>1.457E-3</v>
      </c>
      <c r="E44" s="36"/>
      <c r="F44" s="77" t="s">
        <v>24</v>
      </c>
      <c r="G44" s="78">
        <v>103391.1</v>
      </c>
      <c r="H44" s="78">
        <v>84390.83</v>
      </c>
      <c r="I44" s="83">
        <f>IFERROR(Tabela517[[#This Row],[25. Fat.]]/Tabela517[[#This Row],[24. Fat]],"")</f>
        <v>1.2251461444329912</v>
      </c>
      <c r="J44" s="7"/>
      <c r="L44" s="3" t="s">
        <v>22</v>
      </c>
      <c r="M44" s="5">
        <f>SUMIFS(Tabela113[Valor],Tabela113[Empresa],Tabela618[[#This Row],[Empresa]],Tabela113[Mês],$M$20)</f>
        <v>10457.98</v>
      </c>
      <c r="N44" s="5">
        <f>SUMIFS(Tabela18[Valor],Tabela18[Empresa],Tabela618[[#This Row],[Empresa]],Tabela18[Mês],'25. BANCO DE DADOS'!$M$20)</f>
        <v>249.6</v>
      </c>
      <c r="O44" s="7">
        <f>IFERROR(Tabela618[[#This Row],[25. Fat.]]/Tabela618[[#This Row],[24. Fat]],"")</f>
        <v>41.898958333333333</v>
      </c>
    </row>
    <row r="45" spans="1:15" ht="15.6" x14ac:dyDescent="0.3">
      <c r="A45" s="45" t="s">
        <v>43</v>
      </c>
      <c r="B45" s="14" t="s">
        <v>102</v>
      </c>
      <c r="C45" s="15">
        <v>2033.21</v>
      </c>
      <c r="D45" s="46">
        <v>1.263E-3</v>
      </c>
      <c r="E45" s="36"/>
      <c r="F45" s="77" t="s">
        <v>59</v>
      </c>
      <c r="G45" s="78">
        <v>101330.91</v>
      </c>
      <c r="H45" s="78">
        <v>74772.34</v>
      </c>
      <c r="I45" s="83">
        <f>IFERROR(Tabela517[[#This Row],[25. Fat.]]/Tabela517[[#This Row],[24. Fat]],"")</f>
        <v>1.3551924414830405</v>
      </c>
      <c r="J45" s="7"/>
      <c r="L45" s="3" t="s">
        <v>23</v>
      </c>
      <c r="M45" s="5">
        <f>SUMIFS(Tabela113[Valor],Tabela113[Empresa],Tabela618[[#This Row],[Empresa]],Tabela113[Mês],$M$20)</f>
        <v>10448.66</v>
      </c>
      <c r="N45" s="5">
        <f>SUMIFS(Tabela18[Valor],Tabela18[Empresa],Tabela618[[#This Row],[Empresa]],Tabela18[Mês],'25. BANCO DE DADOS'!$M$20)</f>
        <v>2161.75</v>
      </c>
      <c r="O45" s="7">
        <f>IFERROR(Tabela618[[#This Row],[25. Fat.]]/Tabela618[[#This Row],[24. Fat]],"")</f>
        <v>4.8334266219498092</v>
      </c>
    </row>
    <row r="46" spans="1:15" ht="15.6" x14ac:dyDescent="0.3">
      <c r="A46" s="45" t="s">
        <v>44</v>
      </c>
      <c r="B46" s="14" t="s">
        <v>102</v>
      </c>
      <c r="C46" s="15">
        <v>1923.5</v>
      </c>
      <c r="D46" s="46">
        <v>1.1949999999999999E-3</v>
      </c>
      <c r="E46" s="36"/>
      <c r="F46" s="77" t="s">
        <v>26</v>
      </c>
      <c r="G46" s="78">
        <v>99164.46</v>
      </c>
      <c r="H46" s="78">
        <v>52706.64</v>
      </c>
      <c r="I46" s="83">
        <f>IFERROR(Tabela517[[#This Row],[25. Fat.]]/Tabela517[[#This Row],[24. Fat]],"")</f>
        <v>1.8814415033855318</v>
      </c>
      <c r="J46" s="7"/>
      <c r="L46" s="3" t="s">
        <v>24</v>
      </c>
      <c r="M46" s="5">
        <f>SUMIFS(Tabela113[Valor],Tabela113[Empresa],Tabela618[[#This Row],[Empresa]],Tabela113[Mês],$M$20)</f>
        <v>10427.27</v>
      </c>
      <c r="N46" s="5">
        <f>SUMIFS(Tabela18[Valor],Tabela18[Empresa],Tabela618[[#This Row],[Empresa]],Tabela18[Mês],'25. BANCO DE DADOS'!$M$20)</f>
        <v>8781.89</v>
      </c>
      <c r="O46" s="7">
        <f>IFERROR(Tabela618[[#This Row],[25. Fat.]]/Tabela618[[#This Row],[24. Fat]],"")</f>
        <v>1.1873605795563371</v>
      </c>
    </row>
    <row r="47" spans="1:15" ht="15.6" x14ac:dyDescent="0.3">
      <c r="A47" s="45" t="s">
        <v>45</v>
      </c>
      <c r="B47" s="14" t="s">
        <v>102</v>
      </c>
      <c r="C47" s="15">
        <v>1491.77</v>
      </c>
      <c r="D47" s="46">
        <v>9.2700000000000009E-4</v>
      </c>
      <c r="E47" s="36"/>
      <c r="F47" s="77" t="s">
        <v>159</v>
      </c>
      <c r="G47" s="78">
        <v>88757.28</v>
      </c>
      <c r="H47" s="78">
        <v>49934.34</v>
      </c>
      <c r="I47" s="83">
        <f>IFERROR(Tabela517[[#This Row],[25. Fat.]]/Tabela517[[#This Row],[24. Fat]],"")</f>
        <v>1.7774797864555736</v>
      </c>
      <c r="J47" s="7"/>
      <c r="L47" s="3" t="s">
        <v>25</v>
      </c>
      <c r="M47" s="5">
        <f>SUMIFS(Tabela113[Valor],Tabela113[Empresa],Tabela618[[#This Row],[Empresa]],Tabela113[Mês],$M$20)</f>
        <v>10180.219999999999</v>
      </c>
      <c r="N47" s="5">
        <f>SUMIFS(Tabela18[Valor],Tabela18[Empresa],Tabela618[[#This Row],[Empresa]],Tabela18[Mês],'25. BANCO DE DADOS'!$M$20)</f>
        <v>0</v>
      </c>
      <c r="O47" s="7" t="str">
        <f>IFERROR(Tabela618[[#This Row],[25. Fat.]]/Tabela618[[#This Row],[24. Fat]],"")</f>
        <v/>
      </c>
    </row>
    <row r="48" spans="1:15" ht="15.6" x14ac:dyDescent="0.3">
      <c r="A48" s="45" t="s">
        <v>46</v>
      </c>
      <c r="B48" s="14" t="s">
        <v>102</v>
      </c>
      <c r="C48" s="15">
        <v>1404.72</v>
      </c>
      <c r="D48" s="46">
        <v>8.7300000000000008E-4</v>
      </c>
      <c r="E48" s="36"/>
      <c r="F48" s="77" t="s">
        <v>21</v>
      </c>
      <c r="G48" s="78">
        <v>77755.37</v>
      </c>
      <c r="H48" s="78">
        <v>45464.28</v>
      </c>
      <c r="I48" s="83">
        <f>IFERROR(Tabela517[[#This Row],[25. Fat.]]/Tabela517[[#This Row],[24. Fat]],"")</f>
        <v>1.7102518724589941</v>
      </c>
      <c r="J48" s="7"/>
      <c r="L48" s="3" t="s">
        <v>26</v>
      </c>
      <c r="M48" s="5">
        <f>SUMIFS(Tabela113[Valor],Tabela113[Empresa],Tabela618[[#This Row],[Empresa]],Tabela113[Mês],$M$20)</f>
        <v>8661.07</v>
      </c>
      <c r="N48" s="5">
        <f>SUMIFS(Tabela18[Valor],Tabela18[Empresa],Tabela618[[#This Row],[Empresa]],Tabela18[Mês],'25. BANCO DE DADOS'!$M$20)</f>
        <v>6748.76</v>
      </c>
      <c r="O48" s="7">
        <f>IFERROR(Tabela618[[#This Row],[25. Fat.]]/Tabela618[[#This Row],[24. Fat]],"")</f>
        <v>1.2833572389594532</v>
      </c>
    </row>
    <row r="49" spans="1:15" ht="15.6" x14ac:dyDescent="0.3">
      <c r="A49" s="45" t="s">
        <v>47</v>
      </c>
      <c r="B49" s="14" t="s">
        <v>102</v>
      </c>
      <c r="C49" s="15">
        <v>1363.56</v>
      </c>
      <c r="D49" s="46">
        <v>8.4699999999999999E-4</v>
      </c>
      <c r="E49" s="36"/>
      <c r="F49" s="77" t="s">
        <v>29</v>
      </c>
      <c r="G49" s="78">
        <v>68176.42</v>
      </c>
      <c r="H49" s="78">
        <v>44483.23</v>
      </c>
      <c r="I49" s="83">
        <f>IFERROR(Tabela517[[#This Row],[25. Fat.]]/Tabela517[[#This Row],[24. Fat]],"")</f>
        <v>1.5326319604039542</v>
      </c>
      <c r="J49" s="7"/>
      <c r="L49" s="3" t="s">
        <v>27</v>
      </c>
      <c r="M49" s="5">
        <f>SUMIFS(Tabela113[Valor],Tabela113[Empresa],Tabela618[[#This Row],[Empresa]],Tabela113[Mês],$M$20)</f>
        <v>7848.39</v>
      </c>
      <c r="N49" s="5">
        <f>SUMIFS(Tabela18[Valor],Tabela18[Empresa],Tabela618[[#This Row],[Empresa]],Tabela18[Mês],'25. BANCO DE DADOS'!$M$20)</f>
        <v>0</v>
      </c>
      <c r="O49" s="7" t="str">
        <f>IFERROR(Tabela618[[#This Row],[25. Fat.]]/Tabela618[[#This Row],[24. Fat]],"")</f>
        <v/>
      </c>
    </row>
    <row r="50" spans="1:15" ht="15.6" x14ac:dyDescent="0.3">
      <c r="A50" s="45" t="s">
        <v>48</v>
      </c>
      <c r="B50" s="14" t="s">
        <v>102</v>
      </c>
      <c r="C50" s="15">
        <v>1353.62</v>
      </c>
      <c r="D50" s="46">
        <v>8.4099999999999995E-4</v>
      </c>
      <c r="E50" s="36"/>
      <c r="F50" s="77" t="s">
        <v>30</v>
      </c>
      <c r="G50" s="78">
        <v>66360.94</v>
      </c>
      <c r="H50" s="78">
        <v>43263.59</v>
      </c>
      <c r="I50" s="83">
        <f>IFERROR(Tabela517[[#This Row],[25. Fat.]]/Tabela517[[#This Row],[24. Fat]],"")</f>
        <v>1.5338750205426781</v>
      </c>
      <c r="J50" s="7"/>
      <c r="L50" s="3" t="s">
        <v>28</v>
      </c>
      <c r="M50" s="5">
        <f>SUMIFS(Tabela113[Valor],Tabela113[Empresa],Tabela618[[#This Row],[Empresa]],Tabela113[Mês],$M$20)</f>
        <v>7165.02</v>
      </c>
      <c r="N50" s="5">
        <f>SUMIFS(Tabela18[Valor],Tabela18[Empresa],Tabela618[[#This Row],[Empresa]],Tabela18[Mês],'25. BANCO DE DADOS'!$M$20)</f>
        <v>774.42</v>
      </c>
      <c r="O50" s="7">
        <f>IFERROR(Tabela618[[#This Row],[25. Fat.]]/Tabela618[[#This Row],[24. Fat]],"")</f>
        <v>9.2521112574571944</v>
      </c>
    </row>
    <row r="51" spans="1:15" ht="15.6" x14ac:dyDescent="0.3">
      <c r="A51" s="45" t="s">
        <v>49</v>
      </c>
      <c r="B51" s="14" t="s">
        <v>102</v>
      </c>
      <c r="C51" s="15">
        <v>1342.28</v>
      </c>
      <c r="D51" s="46">
        <v>8.34E-4</v>
      </c>
      <c r="E51" s="36"/>
      <c r="F51" s="77" t="s">
        <v>145</v>
      </c>
      <c r="G51" s="78">
        <v>63887.21</v>
      </c>
      <c r="H51" s="78">
        <v>36909.19</v>
      </c>
      <c r="I51" s="83">
        <f>IFERROR(Tabela517[[#This Row],[25. Fat.]]/Tabela517[[#This Row],[24. Fat]],"")</f>
        <v>1.7309296140067012</v>
      </c>
      <c r="J51" s="7"/>
      <c r="L51" s="3" t="s">
        <v>29</v>
      </c>
      <c r="M51" s="5">
        <f>SUMIFS(Tabela113[Valor],Tabela113[Empresa],Tabela618[[#This Row],[Empresa]],Tabela113[Mês],$M$20)</f>
        <v>7008.02</v>
      </c>
      <c r="N51" s="5">
        <f>SUMIFS(Tabela18[Valor],Tabela18[Empresa],Tabela618[[#This Row],[Empresa]],Tabela18[Mês],'25. BANCO DE DADOS'!$M$20)</f>
        <v>6476.54</v>
      </c>
      <c r="O51" s="7">
        <f>IFERROR(Tabela618[[#This Row],[25. Fat.]]/Tabela618[[#This Row],[24. Fat]],"")</f>
        <v>1.0820623357533499</v>
      </c>
    </row>
    <row r="52" spans="1:15" ht="15.6" x14ac:dyDescent="0.3">
      <c r="A52" s="45" t="s">
        <v>50</v>
      </c>
      <c r="B52" s="14" t="s">
        <v>102</v>
      </c>
      <c r="C52" s="15">
        <v>1334.44</v>
      </c>
      <c r="D52" s="46">
        <v>8.2899999999999998E-4</v>
      </c>
      <c r="E52" s="36"/>
      <c r="F52" s="77" t="s">
        <v>25</v>
      </c>
      <c r="G52" s="78">
        <v>51087.34</v>
      </c>
      <c r="H52" s="78">
        <v>32008.05</v>
      </c>
      <c r="I52" s="83">
        <f>IFERROR(Tabela517[[#This Row],[25. Fat.]]/Tabela517[[#This Row],[24. Fat]],"")</f>
        <v>1.5960778616629254</v>
      </c>
      <c r="J52" s="7"/>
      <c r="L52" s="3" t="s">
        <v>30</v>
      </c>
      <c r="M52" s="5">
        <f>SUMIFS(Tabela113[Valor],Tabela113[Empresa],Tabela618[[#This Row],[Empresa]],Tabela113[Mês],$M$20)</f>
        <v>5117.7299999999996</v>
      </c>
      <c r="N52" s="5">
        <f>SUMIFS(Tabela18[Valor],Tabela18[Empresa],Tabela618[[#This Row],[Empresa]],Tabela18[Mês],'25. BANCO DE DADOS'!$M$20)</f>
        <v>4202.3100000000004</v>
      </c>
      <c r="O52" s="7">
        <f>IFERROR(Tabela618[[#This Row],[25. Fat.]]/Tabela618[[#This Row],[24. Fat]],"")</f>
        <v>1.2178373323243643</v>
      </c>
    </row>
    <row r="53" spans="1:15" ht="15.6" x14ac:dyDescent="0.3">
      <c r="A53" s="45" t="s">
        <v>51</v>
      </c>
      <c r="B53" s="14" t="s">
        <v>102</v>
      </c>
      <c r="C53" s="15">
        <v>1176.5999999999999</v>
      </c>
      <c r="D53" s="46">
        <v>7.3099999999999999E-4</v>
      </c>
      <c r="E53" s="36"/>
      <c r="F53" s="77" t="s">
        <v>38</v>
      </c>
      <c r="G53" s="78">
        <v>45290.75</v>
      </c>
      <c r="H53" s="78">
        <v>31700.73</v>
      </c>
      <c r="I53" s="83">
        <f>IFERROR(Tabela517[[#This Row],[25. Fat.]]/Tabela517[[#This Row],[24. Fat]],"")</f>
        <v>1.4286973833094696</v>
      </c>
      <c r="J53" s="7"/>
      <c r="L53" s="3" t="s">
        <v>31</v>
      </c>
      <c r="M53" s="5">
        <f>SUMIFS(Tabela113[Valor],Tabela113[Empresa],Tabela618[[#This Row],[Empresa]],Tabela113[Mês],$M$20)</f>
        <v>4852.97</v>
      </c>
      <c r="N53" s="5">
        <f>SUMIFS(Tabela18[Valor],Tabela18[Empresa],Tabela618[[#This Row],[Empresa]],Tabela18[Mês],'25. BANCO DE DADOS'!$M$20)</f>
        <v>0</v>
      </c>
      <c r="O53" s="7" t="str">
        <f>IFERROR(Tabela618[[#This Row],[25. Fat.]]/Tabela618[[#This Row],[24. Fat]],"")</f>
        <v/>
      </c>
    </row>
    <row r="54" spans="1:15" ht="15.6" x14ac:dyDescent="0.3">
      <c r="A54" s="45" t="s">
        <v>52</v>
      </c>
      <c r="B54" s="14" t="s">
        <v>102</v>
      </c>
      <c r="C54" s="15">
        <v>1083.02</v>
      </c>
      <c r="D54" s="46">
        <v>6.7299999999999999E-4</v>
      </c>
      <c r="E54" s="36"/>
      <c r="F54" s="77" t="s">
        <v>56</v>
      </c>
      <c r="G54" s="78">
        <v>41350.660000000003</v>
      </c>
      <c r="H54" s="78">
        <v>30965.19</v>
      </c>
      <c r="I54" s="83">
        <f>IFERROR(Tabela517[[#This Row],[25. Fat.]]/Tabela517[[#This Row],[24. Fat]],"")</f>
        <v>1.335391773795026</v>
      </c>
      <c r="J54" s="7"/>
      <c r="L54" s="3" t="s">
        <v>32</v>
      </c>
      <c r="M54" s="5">
        <f>SUMIFS(Tabela113[Valor],Tabela113[Empresa],Tabela618[[#This Row],[Empresa]],Tabela113[Mês],$M$20)</f>
        <v>4750.75</v>
      </c>
      <c r="N54" s="5">
        <f>SUMIFS(Tabela18[Valor],Tabela18[Empresa],Tabela618[[#This Row],[Empresa]],Tabela18[Mês],'25. BANCO DE DADOS'!$M$20)</f>
        <v>2065.63</v>
      </c>
      <c r="O54" s="7">
        <f>IFERROR(Tabela618[[#This Row],[25. Fat.]]/Tabela618[[#This Row],[24. Fat]],"")</f>
        <v>2.2999036613527108</v>
      </c>
    </row>
    <row r="55" spans="1:15" ht="15.6" x14ac:dyDescent="0.3">
      <c r="A55" s="45" t="s">
        <v>53</v>
      </c>
      <c r="B55" s="14" t="s">
        <v>102</v>
      </c>
      <c r="C55" s="15">
        <v>1023.4</v>
      </c>
      <c r="D55" s="46">
        <v>6.3600000000000006E-4</v>
      </c>
      <c r="E55" s="36"/>
      <c r="F55" s="77" t="s">
        <v>130</v>
      </c>
      <c r="G55" s="78">
        <v>39065.19</v>
      </c>
      <c r="H55" s="78">
        <v>24009.77</v>
      </c>
      <c r="I55" s="83">
        <f>IFERROR(Tabela517[[#This Row],[25. Fat.]]/Tabela517[[#This Row],[24. Fat]],"")</f>
        <v>1.627053903473461</v>
      </c>
      <c r="J55" s="7"/>
      <c r="L55" s="3" t="s">
        <v>33</v>
      </c>
      <c r="M55" s="5">
        <f>SUMIFS(Tabela113[Valor],Tabela113[Empresa],Tabela618[[#This Row],[Empresa]],Tabela113[Mês],$M$20)</f>
        <v>4481.38</v>
      </c>
      <c r="N55" s="5">
        <f>SUMIFS(Tabela18[Valor],Tabela18[Empresa],Tabela618[[#This Row],[Empresa]],Tabela18[Mês],'25. BANCO DE DADOS'!$M$20)</f>
        <v>778.6</v>
      </c>
      <c r="O55" s="7">
        <f>IFERROR(Tabela618[[#This Row],[25. Fat.]]/Tabela618[[#This Row],[24. Fat]],"")</f>
        <v>5.7556896994605706</v>
      </c>
    </row>
    <row r="56" spans="1:15" ht="15.6" x14ac:dyDescent="0.3">
      <c r="A56" s="45" t="s">
        <v>54</v>
      </c>
      <c r="B56" s="14" t="s">
        <v>102</v>
      </c>
      <c r="C56" s="15">
        <v>983.03</v>
      </c>
      <c r="D56" s="46">
        <v>6.11E-4</v>
      </c>
      <c r="E56" s="36"/>
      <c r="F56" s="77" t="s">
        <v>74</v>
      </c>
      <c r="G56" s="78">
        <v>38010.58</v>
      </c>
      <c r="H56" s="78">
        <v>21754.28</v>
      </c>
      <c r="I56" s="83">
        <f>IFERROR(Tabela517[[#This Row],[25. Fat.]]/Tabela517[[#This Row],[24. Fat]],"")</f>
        <v>1.7472690431492104</v>
      </c>
      <c r="J56" s="7"/>
      <c r="L56" s="3" t="s">
        <v>34</v>
      </c>
      <c r="M56" s="5">
        <f>SUMIFS(Tabela113[Valor],Tabela113[Empresa],Tabela618[[#This Row],[Empresa]],Tabela113[Mês],$M$20)</f>
        <v>4352.6099999999997</v>
      </c>
      <c r="N56" s="5">
        <f>SUMIFS(Tabela18[Valor],Tabela18[Empresa],Tabela618[[#This Row],[Empresa]],Tabela18[Mês],'25. BANCO DE DADOS'!$M$20)</f>
        <v>9664.02</v>
      </c>
      <c r="O56" s="7">
        <f>IFERROR(Tabela618[[#This Row],[25. Fat.]]/Tabela618[[#This Row],[24. Fat]],"")</f>
        <v>0.45039331458337206</v>
      </c>
    </row>
    <row r="57" spans="1:15" ht="15.6" x14ac:dyDescent="0.3">
      <c r="A57" s="45" t="s">
        <v>55</v>
      </c>
      <c r="B57" s="14" t="s">
        <v>102</v>
      </c>
      <c r="C57" s="15">
        <v>839.29</v>
      </c>
      <c r="D57" s="46">
        <v>5.22E-4</v>
      </c>
      <c r="E57" s="36"/>
      <c r="F57" s="77" t="s">
        <v>28</v>
      </c>
      <c r="G57" s="78">
        <v>35240.019999999997</v>
      </c>
      <c r="H57" s="78">
        <v>13543.23</v>
      </c>
      <c r="I57" s="83">
        <f>IFERROR(Tabela517[[#This Row],[25. Fat.]]/Tabela517[[#This Row],[24. Fat]],"")</f>
        <v>2.602039543004143</v>
      </c>
      <c r="J57" s="7"/>
      <c r="L57" s="3" t="s">
        <v>35</v>
      </c>
      <c r="M57" s="5">
        <f>SUMIFS(Tabela113[Valor],Tabela113[Empresa],Tabela618[[#This Row],[Empresa]],Tabela113[Mês],$M$20)</f>
        <v>4215.4399999999996</v>
      </c>
      <c r="N57" s="5">
        <f>SUMIFS(Tabela18[Valor],Tabela18[Empresa],Tabela618[[#This Row],[Empresa]],Tabela18[Mês],'25. BANCO DE DADOS'!$M$20)</f>
        <v>0</v>
      </c>
      <c r="O57" s="7" t="str">
        <f>IFERROR(Tabela618[[#This Row],[25. Fat.]]/Tabela618[[#This Row],[24. Fat]],"")</f>
        <v/>
      </c>
    </row>
    <row r="58" spans="1:15" ht="15.6" x14ac:dyDescent="0.3">
      <c r="A58" s="45" t="s">
        <v>56</v>
      </c>
      <c r="B58" s="14" t="s">
        <v>102</v>
      </c>
      <c r="C58" s="15">
        <v>805.14</v>
      </c>
      <c r="D58" s="46">
        <v>5.0000000000000001E-4</v>
      </c>
      <c r="E58" s="36"/>
      <c r="F58" s="77" t="s">
        <v>39</v>
      </c>
      <c r="G58" s="78">
        <v>33636.129999999997</v>
      </c>
      <c r="H58" s="78">
        <v>13393.09</v>
      </c>
      <c r="I58" s="83">
        <f>IFERROR(Tabela517[[#This Row],[25. Fat.]]/Tabela517[[#This Row],[24. Fat]],"")</f>
        <v>2.5114540408524095</v>
      </c>
      <c r="J58" s="7"/>
      <c r="L58" s="3" t="s">
        <v>36</v>
      </c>
      <c r="M58" s="5">
        <f>SUMIFS(Tabela113[Valor],Tabela113[Empresa],Tabela618[[#This Row],[Empresa]],Tabela113[Mês],$M$20)</f>
        <v>3845.04</v>
      </c>
      <c r="N58" s="5">
        <f>SUMIFS(Tabela18[Valor],Tabela18[Empresa],Tabela618[[#This Row],[Empresa]],Tabela18[Mês],'25. BANCO DE DADOS'!$M$20)</f>
        <v>0</v>
      </c>
      <c r="O58" s="7" t="str">
        <f>IFERROR(Tabela618[[#This Row],[25. Fat.]]/Tabela618[[#This Row],[24. Fat]],"")</f>
        <v/>
      </c>
    </row>
    <row r="59" spans="1:15" ht="15.6" x14ac:dyDescent="0.3">
      <c r="A59" s="45" t="s">
        <v>57</v>
      </c>
      <c r="B59" s="14" t="s">
        <v>102</v>
      </c>
      <c r="C59" s="15">
        <v>796.5</v>
      </c>
      <c r="D59" s="46">
        <v>4.95E-4</v>
      </c>
      <c r="E59" s="36"/>
      <c r="F59" s="77" t="s">
        <v>32</v>
      </c>
      <c r="G59" s="78">
        <v>32756.25</v>
      </c>
      <c r="H59" s="78">
        <v>12166.95</v>
      </c>
      <c r="I59" s="83">
        <f>IFERROR(Tabela517[[#This Row],[25. Fat.]]/Tabela517[[#This Row],[24. Fat]],"")</f>
        <v>2.6922318247383279</v>
      </c>
      <c r="J59" s="7"/>
      <c r="L59" s="3" t="s">
        <v>37</v>
      </c>
      <c r="M59" s="5">
        <f>SUMIFS(Tabela113[Valor],Tabela113[Empresa],Tabela618[[#This Row],[Empresa]],Tabela113[Mês],$M$20)</f>
        <v>3344.6299999999997</v>
      </c>
      <c r="N59" s="5">
        <f>SUMIFS(Tabela18[Valor],Tabela18[Empresa],Tabela618[[#This Row],[Empresa]],Tabela18[Mês],'25. BANCO DE DADOS'!$M$20)</f>
        <v>0</v>
      </c>
      <c r="O59" s="7" t="str">
        <f>IFERROR(Tabela618[[#This Row],[25. Fat.]]/Tabela618[[#This Row],[24. Fat]],"")</f>
        <v/>
      </c>
    </row>
    <row r="60" spans="1:15" ht="15.6" x14ac:dyDescent="0.3">
      <c r="A60" s="45" t="s">
        <v>58</v>
      </c>
      <c r="B60" s="14" t="s">
        <v>102</v>
      </c>
      <c r="C60" s="15">
        <v>753.88</v>
      </c>
      <c r="D60" s="46">
        <v>4.6799999999999999E-4</v>
      </c>
      <c r="E60" s="36"/>
      <c r="F60" s="77" t="s">
        <v>27</v>
      </c>
      <c r="G60" s="78">
        <v>30260.03</v>
      </c>
      <c r="H60" s="78">
        <v>11532.85</v>
      </c>
      <c r="I60" s="83">
        <f>IFERROR(Tabela517[[#This Row],[25. Fat.]]/Tabela517[[#This Row],[24. Fat]],"")</f>
        <v>2.623811980559879</v>
      </c>
      <c r="J60" s="7"/>
      <c r="L60" s="3" t="s">
        <v>38</v>
      </c>
      <c r="M60" s="5">
        <f>SUMIFS(Tabela113[Valor],Tabela113[Empresa],Tabela618[[#This Row],[Empresa]],Tabela113[Mês],$M$20)</f>
        <v>2993.08</v>
      </c>
      <c r="N60" s="5">
        <f>SUMIFS(Tabela18[Valor],Tabela18[Empresa],Tabela618[[#This Row],[Empresa]],Tabela18[Mês],'25. BANCO DE DADOS'!$M$20)</f>
        <v>1325.72</v>
      </c>
      <c r="O60" s="7">
        <f>IFERROR(Tabela618[[#This Row],[25. Fat.]]/Tabela618[[#This Row],[24. Fat]],"")</f>
        <v>2.2577014754246747</v>
      </c>
    </row>
    <row r="61" spans="1:15" ht="15.6" x14ac:dyDescent="0.3">
      <c r="A61" s="45" t="s">
        <v>59</v>
      </c>
      <c r="B61" s="14" t="s">
        <v>102</v>
      </c>
      <c r="C61" s="15">
        <v>666.79</v>
      </c>
      <c r="D61" s="46">
        <v>4.1399999999999998E-4</v>
      </c>
      <c r="E61" s="36"/>
      <c r="F61" s="77" t="s">
        <v>64</v>
      </c>
      <c r="G61" s="78">
        <v>26925.34</v>
      </c>
      <c r="H61" s="78">
        <v>10898.39</v>
      </c>
      <c r="I61" s="83">
        <f>IFERROR(Tabela517[[#This Row],[25. Fat.]]/Tabela517[[#This Row],[24. Fat]],"")</f>
        <v>2.4705795993720177</v>
      </c>
      <c r="J61" s="7"/>
      <c r="L61" s="3" t="s">
        <v>39</v>
      </c>
      <c r="M61" s="5">
        <f>SUMIFS(Tabela113[Valor],Tabela113[Empresa],Tabela618[[#This Row],[Empresa]],Tabela113[Mês],$M$20)</f>
        <v>2856.44</v>
      </c>
      <c r="N61" s="5">
        <f>SUMIFS(Tabela18[Valor],Tabela18[Empresa],Tabela618[[#This Row],[Empresa]],Tabela18[Mês],'25. BANCO DE DADOS'!$M$20)</f>
        <v>3403.51</v>
      </c>
      <c r="O61" s="7">
        <f>IFERROR(Tabela618[[#This Row],[25. Fat.]]/Tabela618[[#This Row],[24. Fat]],"")</f>
        <v>0.83926299614221789</v>
      </c>
    </row>
    <row r="62" spans="1:15" ht="15.6" x14ac:dyDescent="0.3">
      <c r="A62" s="45" t="s">
        <v>60</v>
      </c>
      <c r="B62" s="14" t="s">
        <v>102</v>
      </c>
      <c r="C62" s="15">
        <v>539.99</v>
      </c>
      <c r="D62" s="46">
        <v>3.3599999999999998E-4</v>
      </c>
      <c r="E62" s="36"/>
      <c r="F62" s="77" t="s">
        <v>40</v>
      </c>
      <c r="G62" s="78">
        <v>25960.45</v>
      </c>
      <c r="H62" s="78">
        <v>10890.48</v>
      </c>
      <c r="I62" s="83">
        <f>IFERROR(Tabela517[[#This Row],[25. Fat.]]/Tabela517[[#This Row],[24. Fat]],"")</f>
        <v>2.383774636196017</v>
      </c>
      <c r="J62" s="7"/>
      <c r="L62" s="3" t="s">
        <v>40</v>
      </c>
      <c r="M62" s="5">
        <f>SUMIFS(Tabela113[Valor],Tabela113[Empresa],Tabela618[[#This Row],[Empresa]],Tabela113[Mês],$M$20)</f>
        <v>2461.98</v>
      </c>
      <c r="N62" s="5">
        <f>SUMIFS(Tabela18[Valor],Tabela18[Empresa],Tabela618[[#This Row],[Empresa]],Tabela18[Mês],'25. BANCO DE DADOS'!$M$20)</f>
        <v>10558.21</v>
      </c>
      <c r="O62" s="7">
        <f>IFERROR(Tabela618[[#This Row],[25. Fat.]]/Tabela618[[#This Row],[24. Fat]],"")</f>
        <v>0.23318157149744134</v>
      </c>
    </row>
    <row r="63" spans="1:15" ht="15.6" x14ac:dyDescent="0.3">
      <c r="A63" s="45" t="s">
        <v>61</v>
      </c>
      <c r="B63" s="14" t="s">
        <v>102</v>
      </c>
      <c r="C63" s="15">
        <v>525.64</v>
      </c>
      <c r="D63" s="46">
        <v>3.2699999999999998E-4</v>
      </c>
      <c r="E63" s="36"/>
      <c r="F63" s="77" t="s">
        <v>42</v>
      </c>
      <c r="G63" s="78">
        <v>24022.55</v>
      </c>
      <c r="H63" s="78">
        <v>10416.709999999999</v>
      </c>
      <c r="I63" s="83">
        <f>IFERROR(Tabela517[[#This Row],[25. Fat.]]/Tabela517[[#This Row],[24. Fat]],"")</f>
        <v>2.3061552063943416</v>
      </c>
      <c r="J63" s="7"/>
      <c r="L63" s="3" t="s">
        <v>41</v>
      </c>
      <c r="M63" s="5">
        <f>SUMIFS(Tabela113[Valor],Tabela113[Empresa],Tabela618[[#This Row],[Empresa]],Tabela113[Mês],$M$20)</f>
        <v>2346.42</v>
      </c>
      <c r="N63" s="5">
        <f>SUMIFS(Tabela18[Valor],Tabela18[Empresa],Tabela618[[#This Row],[Empresa]],Tabela18[Mês],'25. BANCO DE DADOS'!$M$20)</f>
        <v>1254.0999999999999</v>
      </c>
      <c r="O63" s="7">
        <f>IFERROR(Tabela618[[#This Row],[25. Fat.]]/Tabela618[[#This Row],[24. Fat]],"")</f>
        <v>1.8709991228769638</v>
      </c>
    </row>
    <row r="64" spans="1:15" ht="15.6" x14ac:dyDescent="0.3">
      <c r="A64" s="45" t="s">
        <v>62</v>
      </c>
      <c r="B64" s="14" t="s">
        <v>102</v>
      </c>
      <c r="C64" s="15">
        <v>504.67</v>
      </c>
      <c r="D64" s="46">
        <v>3.1399999999999999E-4</v>
      </c>
      <c r="E64" s="36"/>
      <c r="F64" s="77" t="s">
        <v>41</v>
      </c>
      <c r="G64" s="78">
        <v>22997.01</v>
      </c>
      <c r="H64" s="78">
        <v>8904.07</v>
      </c>
      <c r="I64" s="83">
        <f>IFERROR(Tabela517[[#This Row],[25. Fat.]]/Tabela517[[#This Row],[24. Fat]],"")</f>
        <v>2.5827526063923574</v>
      </c>
      <c r="J64" s="7"/>
      <c r="L64" s="3" t="s">
        <v>42</v>
      </c>
      <c r="M64" s="5">
        <f>SUMIFS(Tabela113[Valor],Tabela113[Empresa],Tabela618[[#This Row],[Empresa]],Tabela113[Mês],$M$20)</f>
        <v>2344.7399999999998</v>
      </c>
      <c r="N64" s="5">
        <f>SUMIFS(Tabela18[Valor],Tabela18[Empresa],Tabela618[[#This Row],[Empresa]],Tabela18[Mês],'25. BANCO DE DADOS'!$M$20)</f>
        <v>1784.24</v>
      </c>
      <c r="O64" s="7">
        <f>IFERROR(Tabela618[[#This Row],[25. Fat.]]/Tabela618[[#This Row],[24. Fat]],"")</f>
        <v>1.3141393534502084</v>
      </c>
    </row>
    <row r="65" spans="1:15" ht="15.6" x14ac:dyDescent="0.3">
      <c r="A65" s="45" t="s">
        <v>63</v>
      </c>
      <c r="B65" s="14" t="s">
        <v>102</v>
      </c>
      <c r="C65" s="15">
        <v>488.89</v>
      </c>
      <c r="D65" s="46">
        <v>3.0400000000000002E-4</v>
      </c>
      <c r="E65" s="36"/>
      <c r="F65" s="77" t="s">
        <v>47</v>
      </c>
      <c r="G65" s="78">
        <v>21152.57</v>
      </c>
      <c r="H65" s="78">
        <v>8666.48</v>
      </c>
      <c r="I65" s="83">
        <f>IFERROR(Tabela517[[#This Row],[25. Fat.]]/Tabela517[[#This Row],[24. Fat]],"")</f>
        <v>2.4407337234955833</v>
      </c>
      <c r="J65" s="7"/>
      <c r="L65" s="3" t="s">
        <v>43</v>
      </c>
      <c r="M65" s="5">
        <f>SUMIFS(Tabela113[Valor],Tabela113[Empresa],Tabela618[[#This Row],[Empresa]],Tabela113[Mês],$M$20)</f>
        <v>2033.21</v>
      </c>
      <c r="N65" s="5">
        <f>SUMIFS(Tabela18[Valor],Tabela18[Empresa],Tabela618[[#This Row],[Empresa]],Tabela18[Mês],'25. BANCO DE DADOS'!$M$20)</f>
        <v>0</v>
      </c>
      <c r="O65" s="7" t="str">
        <f>IFERROR(Tabela618[[#This Row],[25. Fat.]]/Tabela618[[#This Row],[24. Fat]],"")</f>
        <v/>
      </c>
    </row>
    <row r="66" spans="1:15" ht="15.6" x14ac:dyDescent="0.3">
      <c r="A66" s="45" t="s">
        <v>64</v>
      </c>
      <c r="B66" s="14" t="s">
        <v>102</v>
      </c>
      <c r="C66" s="15">
        <v>467.7</v>
      </c>
      <c r="D66" s="46">
        <v>2.9100000000000003E-4</v>
      </c>
      <c r="E66" s="36"/>
      <c r="F66" s="77" t="s">
        <v>43</v>
      </c>
      <c r="G66" s="78">
        <v>19963.7</v>
      </c>
      <c r="H66" s="78">
        <v>6751.08</v>
      </c>
      <c r="I66" s="83">
        <f>IFERROR(Tabela517[[#This Row],[25. Fat.]]/Tabela517[[#This Row],[24. Fat]],"")</f>
        <v>2.957112047257624</v>
      </c>
      <c r="J66" s="7"/>
      <c r="L66" s="3" t="s">
        <v>44</v>
      </c>
      <c r="M66" s="5">
        <f>SUMIFS(Tabela113[Valor],Tabela113[Empresa],Tabela618[[#This Row],[Empresa]],Tabela113[Mês],$M$20)</f>
        <v>1923.5</v>
      </c>
      <c r="N66" s="5">
        <f>SUMIFS(Tabela18[Valor],Tabela18[Empresa],Tabela618[[#This Row],[Empresa]],Tabela18[Mês],'25. BANCO DE DADOS'!$M$20)</f>
        <v>0</v>
      </c>
      <c r="O66" s="7" t="str">
        <f>IFERROR(Tabela618[[#This Row],[25. Fat.]]/Tabela618[[#This Row],[24. Fat]],"")</f>
        <v/>
      </c>
    </row>
    <row r="67" spans="1:15" ht="15.6" x14ac:dyDescent="0.3">
      <c r="A67" s="45" t="s">
        <v>65</v>
      </c>
      <c r="B67" s="14" t="s">
        <v>102</v>
      </c>
      <c r="C67" s="15">
        <v>456</v>
      </c>
      <c r="D67" s="46">
        <v>2.8299999999999999E-4</v>
      </c>
      <c r="E67" s="36"/>
      <c r="F67" s="77" t="s">
        <v>45</v>
      </c>
      <c r="G67" s="78">
        <v>19651.419999999998</v>
      </c>
      <c r="H67" s="78">
        <v>5621.5</v>
      </c>
      <c r="I67" s="83">
        <f>IFERROR(Tabela517[[#This Row],[25. Fat.]]/Tabela517[[#This Row],[24. Fat]],"")</f>
        <v>3.4957609179044735</v>
      </c>
      <c r="J67" s="7"/>
      <c r="L67" s="3" t="s">
        <v>45</v>
      </c>
      <c r="M67" s="5">
        <f>SUMIFS(Tabela113[Valor],Tabela113[Empresa],Tabela618[[#This Row],[Empresa]],Tabela113[Mês],$M$20)</f>
        <v>1491.77</v>
      </c>
      <c r="N67" s="5">
        <f>SUMIFS(Tabela18[Valor],Tabela18[Empresa],Tabela618[[#This Row],[Empresa]],Tabela18[Mês],'25. BANCO DE DADOS'!$M$20)</f>
        <v>8305.6299999999992</v>
      </c>
      <c r="O67" s="7">
        <f>IFERROR(Tabela618[[#This Row],[25. Fat.]]/Tabela618[[#This Row],[24. Fat]],"")</f>
        <v>0.1796094938011927</v>
      </c>
    </row>
    <row r="68" spans="1:15" ht="15.6" x14ac:dyDescent="0.3">
      <c r="A68" s="45" t="s">
        <v>66</v>
      </c>
      <c r="B68" s="14" t="s">
        <v>102</v>
      </c>
      <c r="C68" s="15">
        <v>394.15</v>
      </c>
      <c r="D68" s="46">
        <v>2.4499999999999999E-4</v>
      </c>
      <c r="E68" s="36"/>
      <c r="F68" s="77" t="s">
        <v>54</v>
      </c>
      <c r="G68" s="78">
        <v>15895.88</v>
      </c>
      <c r="H68" s="78">
        <v>5446.45</v>
      </c>
      <c r="I68" s="83">
        <f>IFERROR(Tabela517[[#This Row],[25. Fat.]]/Tabela517[[#This Row],[24. Fat]],"")</f>
        <v>2.9185763203554607</v>
      </c>
      <c r="J68" s="7"/>
      <c r="L68" s="3" t="s">
        <v>46</v>
      </c>
      <c r="M68" s="5">
        <f>SUMIFS(Tabela113[Valor],Tabela113[Empresa],Tabela618[[#This Row],[Empresa]],Tabela113[Mês],$M$20)</f>
        <v>1404.72</v>
      </c>
      <c r="N68" s="5">
        <f>SUMIFS(Tabela18[Valor],Tabela18[Empresa],Tabela618[[#This Row],[Empresa]],Tabela18[Mês],'25. BANCO DE DADOS'!$M$20)</f>
        <v>41.93</v>
      </c>
      <c r="O68" s="7">
        <f>IFERROR(Tabela618[[#This Row],[25. Fat.]]/Tabela618[[#This Row],[24. Fat]],"")</f>
        <v>33.501550202718818</v>
      </c>
    </row>
    <row r="69" spans="1:15" ht="15.6" x14ac:dyDescent="0.3">
      <c r="A69" s="45" t="s">
        <v>67</v>
      </c>
      <c r="B69" s="14" t="s">
        <v>102</v>
      </c>
      <c r="C69" s="15">
        <v>384.33</v>
      </c>
      <c r="D69" s="46">
        <v>2.3900000000000001E-4</v>
      </c>
      <c r="E69" s="36"/>
      <c r="F69" s="77" t="s">
        <v>46</v>
      </c>
      <c r="G69" s="78">
        <v>15302.23</v>
      </c>
      <c r="H69" s="78">
        <v>5171.3500000000004</v>
      </c>
      <c r="I69" s="83">
        <f>IFERROR(Tabela517[[#This Row],[25. Fat.]]/Tabela517[[#This Row],[24. Fat]],"")</f>
        <v>2.9590397091668517</v>
      </c>
      <c r="J69" s="7"/>
      <c r="L69" s="3" t="s">
        <v>47</v>
      </c>
      <c r="M69" s="5">
        <f>SUMIFS(Tabela113[Valor],Tabela113[Empresa],Tabela618[[#This Row],[Empresa]],Tabela113[Mês],$M$20)</f>
        <v>1363.56</v>
      </c>
      <c r="N69" s="5">
        <f>SUMIFS(Tabela18[Valor],Tabela18[Empresa],Tabela618[[#This Row],[Empresa]],Tabela18[Mês],'25. BANCO DE DADOS'!$M$20)</f>
        <v>67.06</v>
      </c>
      <c r="O69" s="7">
        <f>IFERROR(Tabela618[[#This Row],[25. Fat.]]/Tabela618[[#This Row],[24. Fat]],"")</f>
        <v>20.333432746793914</v>
      </c>
    </row>
    <row r="70" spans="1:15" ht="15.6" x14ac:dyDescent="0.3">
      <c r="A70" s="45" t="s">
        <v>68</v>
      </c>
      <c r="B70" s="14" t="s">
        <v>102</v>
      </c>
      <c r="C70" s="15">
        <v>376.95</v>
      </c>
      <c r="D70" s="46">
        <v>2.34E-4</v>
      </c>
      <c r="E70" s="36"/>
      <c r="F70" s="77" t="s">
        <v>95</v>
      </c>
      <c r="G70" s="78">
        <v>14725.62</v>
      </c>
      <c r="H70" s="78">
        <v>5155.09</v>
      </c>
      <c r="I70" s="83">
        <f>IFERROR(Tabela517[[#This Row],[25. Fat.]]/Tabela517[[#This Row],[24. Fat]],"")</f>
        <v>2.8565204487215548</v>
      </c>
      <c r="J70" s="7"/>
      <c r="L70" s="3" t="s">
        <v>48</v>
      </c>
      <c r="M70" s="5">
        <f>SUMIFS(Tabela113[Valor],Tabela113[Empresa],Tabela618[[#This Row],[Empresa]],Tabela113[Mês],$M$20)</f>
        <v>1353.62</v>
      </c>
      <c r="N70" s="5">
        <f>SUMIFS(Tabela18[Valor],Tabela18[Empresa],Tabela618[[#This Row],[Empresa]],Tabela18[Mês],'25. BANCO DE DADOS'!$M$20)</f>
        <v>2107.62</v>
      </c>
      <c r="O70" s="7">
        <f>IFERROR(Tabela618[[#This Row],[25. Fat.]]/Tabela618[[#This Row],[24. Fat]],"")</f>
        <v>0.64225050056461785</v>
      </c>
    </row>
    <row r="71" spans="1:15" ht="15.6" x14ac:dyDescent="0.3">
      <c r="A71" s="45" t="s">
        <v>69</v>
      </c>
      <c r="B71" s="14" t="s">
        <v>102</v>
      </c>
      <c r="C71" s="15">
        <v>299.85000000000002</v>
      </c>
      <c r="D71" s="46">
        <v>1.8599999999999999E-4</v>
      </c>
      <c r="E71" s="36"/>
      <c r="F71" s="77" t="s">
        <v>31</v>
      </c>
      <c r="G71" s="78">
        <v>14579.98</v>
      </c>
      <c r="H71" s="78">
        <v>4950.29</v>
      </c>
      <c r="I71" s="83">
        <f>IFERROR(Tabela517[[#This Row],[25. Fat.]]/Tabela517[[#This Row],[24. Fat]],"")</f>
        <v>2.9452779534128304</v>
      </c>
      <c r="J71" s="7"/>
      <c r="L71" s="3" t="s">
        <v>49</v>
      </c>
      <c r="M71" s="5">
        <f>SUMIFS(Tabela113[Valor],Tabela113[Empresa],Tabela618[[#This Row],[Empresa]],Tabela113[Mês],$M$20)</f>
        <v>1342.28</v>
      </c>
      <c r="N71" s="5">
        <f>SUMIFS(Tabela18[Valor],Tabela18[Empresa],Tabela618[[#This Row],[Empresa]],Tabela18[Mês],'25. BANCO DE DADOS'!$M$20)</f>
        <v>1174.55</v>
      </c>
      <c r="O71" s="7">
        <f>IFERROR(Tabela618[[#This Row],[25. Fat.]]/Tabela618[[#This Row],[24. Fat]],"")</f>
        <v>1.1428036269209485</v>
      </c>
    </row>
    <row r="72" spans="1:15" ht="15.6" x14ac:dyDescent="0.3">
      <c r="A72" s="45" t="s">
        <v>70</v>
      </c>
      <c r="B72" s="14" t="s">
        <v>102</v>
      </c>
      <c r="C72" s="15">
        <v>183.68</v>
      </c>
      <c r="D72" s="46">
        <v>1.1400000000000001E-4</v>
      </c>
      <c r="E72" s="36"/>
      <c r="F72" s="77" t="s">
        <v>163</v>
      </c>
      <c r="G72" s="78">
        <v>14133.58</v>
      </c>
      <c r="H72" s="78">
        <v>4462.6899999999996</v>
      </c>
      <c r="I72" s="83">
        <f>IFERROR(Tabela517[[#This Row],[25. Fat.]]/Tabela517[[#This Row],[24. Fat]],"")</f>
        <v>3.1670539517645189</v>
      </c>
      <c r="J72" s="7"/>
      <c r="L72" s="3" t="s">
        <v>50</v>
      </c>
      <c r="M72" s="5">
        <f>SUMIFS(Tabela113[Valor],Tabela113[Empresa],Tabela618[[#This Row],[Empresa]],Tabela113[Mês],$M$20)</f>
        <v>1334.44</v>
      </c>
      <c r="N72" s="5">
        <f>SUMIFS(Tabela18[Valor],Tabela18[Empresa],Tabela618[[#This Row],[Empresa]],Tabela18[Mês],'25. BANCO DE DADOS'!$M$20)</f>
        <v>267.33</v>
      </c>
      <c r="O72" s="7">
        <f>IFERROR(Tabela618[[#This Row],[25. Fat.]]/Tabela618[[#This Row],[24. Fat]],"")</f>
        <v>4.9917330640032924</v>
      </c>
    </row>
    <row r="73" spans="1:15" ht="15.6" x14ac:dyDescent="0.3">
      <c r="A73" s="45" t="s">
        <v>71</v>
      </c>
      <c r="B73" s="14" t="s">
        <v>102</v>
      </c>
      <c r="C73" s="15">
        <v>168.18</v>
      </c>
      <c r="D73" s="46">
        <v>1.05E-4</v>
      </c>
      <c r="E73" s="36"/>
      <c r="F73" s="77" t="s">
        <v>61</v>
      </c>
      <c r="G73" s="78">
        <v>13505.23</v>
      </c>
      <c r="H73" s="78">
        <v>4445.46</v>
      </c>
      <c r="I73" s="83">
        <f>IFERROR(Tabela517[[#This Row],[25. Fat.]]/Tabela517[[#This Row],[24. Fat]],"")</f>
        <v>3.0379825709825306</v>
      </c>
      <c r="J73" s="7"/>
      <c r="L73" s="3" t="s">
        <v>51</v>
      </c>
      <c r="M73" s="5">
        <f>SUMIFS(Tabela113[Valor],Tabela113[Empresa],Tabela618[[#This Row],[Empresa]],Tabela113[Mês],$M$20)</f>
        <v>1176.5999999999999</v>
      </c>
      <c r="N73" s="5">
        <f>SUMIFS(Tabela18[Valor],Tabela18[Empresa],Tabela618[[#This Row],[Empresa]],Tabela18[Mês],'25. BANCO DE DADOS'!$M$20)</f>
        <v>0</v>
      </c>
      <c r="O73" s="7" t="str">
        <f>IFERROR(Tabela618[[#This Row],[25. Fat.]]/Tabela618[[#This Row],[24. Fat]],"")</f>
        <v/>
      </c>
    </row>
    <row r="74" spans="1:15" ht="15.6" x14ac:dyDescent="0.3">
      <c r="A74" s="45" t="s">
        <v>72</v>
      </c>
      <c r="B74" s="14" t="s">
        <v>102</v>
      </c>
      <c r="C74" s="15">
        <v>138.69999999999999</v>
      </c>
      <c r="D74" s="46">
        <v>8.6000000000000003E-5</v>
      </c>
      <c r="E74" s="36"/>
      <c r="F74" s="77" t="s">
        <v>23</v>
      </c>
      <c r="G74" s="78">
        <v>13254.77</v>
      </c>
      <c r="H74" s="78">
        <v>4033.13</v>
      </c>
      <c r="I74" s="83">
        <f>IFERROR(Tabela517[[#This Row],[25. Fat.]]/Tabela517[[#This Row],[24. Fat]],"")</f>
        <v>3.2864722932313115</v>
      </c>
      <c r="J74" s="7"/>
      <c r="L74" s="3" t="s">
        <v>52</v>
      </c>
      <c r="M74" s="5">
        <f>SUMIFS(Tabela113[Valor],Tabela113[Empresa],Tabela618[[#This Row],[Empresa]],Tabela113[Mês],$M$20)</f>
        <v>1083.02</v>
      </c>
      <c r="N74" s="5">
        <f>SUMIFS(Tabela18[Valor],Tabela18[Empresa],Tabela618[[#This Row],[Empresa]],Tabela18[Mês],'25. BANCO DE DADOS'!$M$20)</f>
        <v>1857.54</v>
      </c>
      <c r="O74" s="7">
        <f>IFERROR(Tabela618[[#This Row],[25. Fat.]]/Tabela618[[#This Row],[24. Fat]],"")</f>
        <v>0.58303993453707592</v>
      </c>
    </row>
    <row r="75" spans="1:15" ht="15.6" x14ac:dyDescent="0.3">
      <c r="A75" s="45" t="s">
        <v>73</v>
      </c>
      <c r="B75" s="14" t="s">
        <v>102</v>
      </c>
      <c r="C75" s="15">
        <v>127.05</v>
      </c>
      <c r="D75" s="46">
        <v>7.9000000000000009E-5</v>
      </c>
      <c r="E75" s="36"/>
      <c r="F75" s="77" t="s">
        <v>33</v>
      </c>
      <c r="G75" s="78">
        <v>12547.42</v>
      </c>
      <c r="H75" s="78">
        <v>3437.37</v>
      </c>
      <c r="I75" s="83">
        <f>IFERROR(Tabela517[[#This Row],[25. Fat.]]/Tabela517[[#This Row],[24. Fat]],"")</f>
        <v>3.6502965930347915</v>
      </c>
      <c r="J75" s="7"/>
      <c r="L75" s="3" t="s">
        <v>53</v>
      </c>
      <c r="M75" s="5">
        <f>SUMIFS(Tabela113[Valor],Tabela113[Empresa],Tabela618[[#This Row],[Empresa]],Tabela113[Mês],$M$20)</f>
        <v>1023.4</v>
      </c>
      <c r="N75" s="5">
        <f>SUMIFS(Tabela18[Valor],Tabela18[Empresa],Tabela618[[#This Row],[Empresa]],Tabela18[Mês],'25. BANCO DE DADOS'!$M$20)</f>
        <v>0</v>
      </c>
      <c r="O75" s="7" t="str">
        <f>IFERROR(Tabela618[[#This Row],[25. Fat.]]/Tabela618[[#This Row],[24. Fat]],"")</f>
        <v/>
      </c>
    </row>
    <row r="76" spans="1:15" ht="15.6" x14ac:dyDescent="0.3">
      <c r="A76" s="45" t="s">
        <v>74</v>
      </c>
      <c r="B76" s="14" t="s">
        <v>102</v>
      </c>
      <c r="C76" s="15">
        <v>114.39</v>
      </c>
      <c r="D76" s="46">
        <v>7.1000000000000005E-5</v>
      </c>
      <c r="E76" s="36"/>
      <c r="F76" s="77" t="s">
        <v>37</v>
      </c>
      <c r="G76" s="78">
        <v>11807.78</v>
      </c>
      <c r="H76" s="78">
        <v>3240.86</v>
      </c>
      <c r="I76" s="83">
        <f>IFERROR(Tabela517[[#This Row],[25. Fat.]]/Tabela517[[#This Row],[24. Fat]],"")</f>
        <v>3.6434094653888165</v>
      </c>
      <c r="J76" s="7"/>
      <c r="L76" s="3" t="s">
        <v>54</v>
      </c>
      <c r="M76" s="5">
        <f>SUMIFS(Tabela113[Valor],Tabela113[Empresa],Tabela618[[#This Row],[Empresa]],Tabela113[Mês],$M$20)</f>
        <v>983.03</v>
      </c>
      <c r="N76" s="5">
        <f>SUMIFS(Tabela18[Valor],Tabela18[Empresa],Tabela618[[#This Row],[Empresa]],Tabela18[Mês],'25. BANCO DE DADOS'!$M$20)</f>
        <v>585.46</v>
      </c>
      <c r="O76" s="7">
        <f>IFERROR(Tabela618[[#This Row],[25. Fat.]]/Tabela618[[#This Row],[24. Fat]],"")</f>
        <v>1.6790728657807534</v>
      </c>
    </row>
    <row r="77" spans="1:15" ht="15.6" x14ac:dyDescent="0.3">
      <c r="A77" s="45" t="s">
        <v>75</v>
      </c>
      <c r="B77" s="14" t="s">
        <v>102</v>
      </c>
      <c r="C77" s="15">
        <v>114.12</v>
      </c>
      <c r="D77" s="46">
        <v>7.1000000000000005E-5</v>
      </c>
      <c r="E77" s="36"/>
      <c r="F77" s="77" t="s">
        <v>161</v>
      </c>
      <c r="G77" s="78">
        <v>10925.43</v>
      </c>
      <c r="H77" s="78">
        <v>3196.01</v>
      </c>
      <c r="I77" s="83">
        <f>IFERROR(Tabela517[[#This Row],[25. Fat.]]/Tabela517[[#This Row],[24. Fat]],"")</f>
        <v>3.4184592663977895</v>
      </c>
      <c r="J77" s="7"/>
      <c r="L77" s="3" t="s">
        <v>55</v>
      </c>
      <c r="M77" s="5">
        <f>SUMIFS(Tabela113[Valor],Tabela113[Empresa],Tabela618[[#This Row],[Empresa]],Tabela113[Mês],$M$20)</f>
        <v>839.29</v>
      </c>
      <c r="N77" s="5">
        <f>SUMIFS(Tabela18[Valor],Tabela18[Empresa],Tabela618[[#This Row],[Empresa]],Tabela18[Mês],'25. BANCO DE DADOS'!$M$20)</f>
        <v>322.2</v>
      </c>
      <c r="O77" s="7">
        <f>IFERROR(Tabela618[[#This Row],[25. Fat.]]/Tabela618[[#This Row],[24. Fat]],"")</f>
        <v>2.6048727498448168</v>
      </c>
    </row>
    <row r="78" spans="1:15" ht="15.6" x14ac:dyDescent="0.3">
      <c r="A78" s="45" t="s">
        <v>37</v>
      </c>
      <c r="B78" s="14" t="s">
        <v>102</v>
      </c>
      <c r="C78" s="15">
        <v>111.66</v>
      </c>
      <c r="D78" s="46">
        <v>6.8999999999999997E-5</v>
      </c>
      <c r="E78" s="36"/>
      <c r="F78" s="77" t="s">
        <v>51</v>
      </c>
      <c r="G78" s="78">
        <v>10755.26</v>
      </c>
      <c r="H78" s="78">
        <v>2828.37</v>
      </c>
      <c r="I78" s="83">
        <f>IFERROR(Tabela517[[#This Row],[25. Fat.]]/Tabela517[[#This Row],[24. Fat]],"")</f>
        <v>3.8026354402005396</v>
      </c>
      <c r="J78" s="7"/>
      <c r="L78" s="3" t="s">
        <v>56</v>
      </c>
      <c r="M78" s="5">
        <f>SUMIFS(Tabela113[Valor],Tabela113[Empresa],Tabela618[[#This Row],[Empresa]],Tabela113[Mês],$M$20)</f>
        <v>805.14</v>
      </c>
      <c r="N78" s="5">
        <f>SUMIFS(Tabela18[Valor],Tabela18[Empresa],Tabela618[[#This Row],[Empresa]],Tabela18[Mês],'25. BANCO DE DADOS'!$M$20)</f>
        <v>0</v>
      </c>
      <c r="O78" s="7" t="str">
        <f>IFERROR(Tabela618[[#This Row],[25. Fat.]]/Tabela618[[#This Row],[24. Fat]],"")</f>
        <v/>
      </c>
    </row>
    <row r="79" spans="1:15" ht="15.6" x14ac:dyDescent="0.3">
      <c r="A79" s="45" t="s">
        <v>76</v>
      </c>
      <c r="B79" s="14" t="s">
        <v>102</v>
      </c>
      <c r="C79" s="15">
        <v>105.98</v>
      </c>
      <c r="D79" s="46">
        <v>6.6000000000000005E-5</v>
      </c>
      <c r="E79" s="36"/>
      <c r="F79" s="77" t="s">
        <v>90</v>
      </c>
      <c r="G79" s="78">
        <v>9938.89</v>
      </c>
      <c r="H79" s="78">
        <v>2686.48</v>
      </c>
      <c r="I79" s="83">
        <f>IFERROR(Tabela517[[#This Row],[25. Fat.]]/Tabela517[[#This Row],[24. Fat]],"")</f>
        <v>3.6995957535511148</v>
      </c>
      <c r="J79" s="7"/>
      <c r="L79" s="3" t="s">
        <v>57</v>
      </c>
      <c r="M79" s="5">
        <f>SUMIFS(Tabela113[Valor],Tabela113[Empresa],Tabela618[[#This Row],[Empresa]],Tabela113[Mês],$M$20)</f>
        <v>796.5</v>
      </c>
      <c r="N79" s="5">
        <f>SUMIFS(Tabela18[Valor],Tabela18[Empresa],Tabela618[[#This Row],[Empresa]],Tabela18[Mês],'25. BANCO DE DADOS'!$M$20)</f>
        <v>351</v>
      </c>
      <c r="O79" s="7">
        <f>IFERROR(Tabela618[[#This Row],[25. Fat.]]/Tabela618[[#This Row],[24. Fat]],"")</f>
        <v>2.2692307692307692</v>
      </c>
    </row>
    <row r="80" spans="1:15" ht="15.6" x14ac:dyDescent="0.3">
      <c r="A80" s="45" t="s">
        <v>77</v>
      </c>
      <c r="B80" s="14" t="s">
        <v>102</v>
      </c>
      <c r="C80" s="15">
        <v>92.25</v>
      </c>
      <c r="D80" s="46">
        <v>5.7000000000000003E-5</v>
      </c>
      <c r="E80" s="36"/>
      <c r="F80" s="77" t="s">
        <v>63</v>
      </c>
      <c r="G80" s="78">
        <v>9517.32</v>
      </c>
      <c r="H80" s="78">
        <v>2648.72</v>
      </c>
      <c r="I80" s="83">
        <f>IFERROR(Tabela517[[#This Row],[25. Fat.]]/Tabela517[[#This Row],[24. Fat]],"")</f>
        <v>3.5931770817602464</v>
      </c>
      <c r="J80" s="7"/>
      <c r="L80" s="3" t="s">
        <v>58</v>
      </c>
      <c r="M80" s="5">
        <f>SUMIFS(Tabela113[Valor],Tabela113[Empresa],Tabela618[[#This Row],[Empresa]],Tabela113[Mês],$M$20)</f>
        <v>753.88</v>
      </c>
      <c r="N80" s="5">
        <f>SUMIFS(Tabela18[Valor],Tabela18[Empresa],Tabela618[[#This Row],[Empresa]],Tabela18[Mês],'25. BANCO DE DADOS'!$M$20)</f>
        <v>687.26</v>
      </c>
      <c r="O80" s="7">
        <f>IFERROR(Tabela618[[#This Row],[25. Fat.]]/Tabela618[[#This Row],[24. Fat]],"")</f>
        <v>1.0969356575386318</v>
      </c>
    </row>
    <row r="81" spans="1:15" ht="15.6" x14ac:dyDescent="0.3">
      <c r="A81" s="45" t="s">
        <v>78</v>
      </c>
      <c r="B81" s="14" t="s">
        <v>102</v>
      </c>
      <c r="C81" s="15">
        <v>66.78</v>
      </c>
      <c r="D81" s="46">
        <v>4.1E-5</v>
      </c>
      <c r="E81" s="36"/>
      <c r="F81" s="77" t="s">
        <v>50</v>
      </c>
      <c r="G81" s="78">
        <v>9363.6299999999992</v>
      </c>
      <c r="H81" s="78">
        <v>2573.6799999999998</v>
      </c>
      <c r="I81" s="83">
        <f>IFERROR(Tabela517[[#This Row],[25. Fat.]]/Tabela517[[#This Row],[24. Fat]],"")</f>
        <v>3.6382261975070715</v>
      </c>
      <c r="J81" s="7"/>
      <c r="L81" s="3" t="s">
        <v>59</v>
      </c>
      <c r="M81" s="5">
        <f>SUMIFS(Tabela113[Valor],Tabela113[Empresa],Tabela618[[#This Row],[Empresa]],Tabela113[Mês],$M$20)</f>
        <v>666.79</v>
      </c>
      <c r="N81" s="5">
        <f>SUMIFS(Tabela18[Valor],Tabela18[Empresa],Tabela618[[#This Row],[Empresa]],Tabela18[Mês],'25. BANCO DE DADOS'!$M$20)</f>
        <v>236.58</v>
      </c>
      <c r="O81" s="7">
        <f>IFERROR(Tabela618[[#This Row],[25. Fat.]]/Tabela618[[#This Row],[24. Fat]],"")</f>
        <v>2.8184546453630905</v>
      </c>
    </row>
    <row r="82" spans="1:15" ht="15.6" x14ac:dyDescent="0.3">
      <c r="A82" s="45" t="s">
        <v>79</v>
      </c>
      <c r="B82" s="14" t="s">
        <v>102</v>
      </c>
      <c r="C82" s="15">
        <v>52.82</v>
      </c>
      <c r="D82" s="46">
        <v>3.3000000000000003E-5</v>
      </c>
      <c r="E82" s="36"/>
      <c r="F82" s="77" t="s">
        <v>165</v>
      </c>
      <c r="G82" s="78">
        <v>8299.24</v>
      </c>
      <c r="H82" s="78">
        <v>2492.7399999999998</v>
      </c>
      <c r="I82" s="83">
        <f>IFERROR(Tabela517[[#This Row],[25. Fat.]]/Tabela517[[#This Row],[24. Fat]],"")</f>
        <v>3.3293644744337558</v>
      </c>
      <c r="J82" s="7"/>
      <c r="L82" s="3" t="s">
        <v>60</v>
      </c>
      <c r="M82" s="5">
        <f>SUMIFS(Tabela113[Valor],Tabela113[Empresa],Tabela618[[#This Row],[Empresa]],Tabela113[Mês],$M$20)</f>
        <v>539.99</v>
      </c>
      <c r="N82" s="5">
        <f>SUMIFS(Tabela18[Valor],Tabela18[Empresa],Tabela618[[#This Row],[Empresa]],Tabela18[Mês],'25. BANCO DE DADOS'!$M$20)</f>
        <v>536.79999999999995</v>
      </c>
      <c r="O82" s="7">
        <f>IFERROR(Tabela618[[#This Row],[25. Fat.]]/Tabela618[[#This Row],[24. Fat]],"")</f>
        <v>1.0059426229508197</v>
      </c>
    </row>
    <row r="83" spans="1:15" ht="15.6" x14ac:dyDescent="0.3">
      <c r="A83" s="45" t="s">
        <v>80</v>
      </c>
      <c r="B83" s="14" t="s">
        <v>102</v>
      </c>
      <c r="C83" s="15">
        <v>38.5</v>
      </c>
      <c r="D83" s="46">
        <v>2.3999999999999997E-5</v>
      </c>
      <c r="E83" s="36"/>
      <c r="F83" s="77" t="s">
        <v>44</v>
      </c>
      <c r="G83" s="78">
        <v>7324.49</v>
      </c>
      <c r="H83" s="78">
        <v>2390.56</v>
      </c>
      <c r="I83" s="83">
        <f>IFERROR(Tabela517[[#This Row],[25. Fat.]]/Tabela517[[#This Row],[24. Fat]],"")</f>
        <v>3.0639222608928454</v>
      </c>
      <c r="J83" s="7"/>
      <c r="L83" s="3" t="s">
        <v>61</v>
      </c>
      <c r="M83" s="5">
        <f>SUMIFS(Tabela113[Valor],Tabela113[Empresa],Tabela618[[#This Row],[Empresa]],Tabela113[Mês],$M$20)</f>
        <v>525.64</v>
      </c>
      <c r="N83" s="5">
        <f>SUMIFS(Tabela18[Valor],Tabela18[Empresa],Tabela618[[#This Row],[Empresa]],Tabela18[Mês],'25. BANCO DE DADOS'!$M$20)</f>
        <v>0</v>
      </c>
      <c r="O83" s="7" t="str">
        <f>IFERROR(Tabela618[[#This Row],[25. Fat.]]/Tabela618[[#This Row],[24. Fat]],"")</f>
        <v/>
      </c>
    </row>
    <row r="84" spans="1:15" ht="15.6" x14ac:dyDescent="0.3">
      <c r="A84" s="45" t="s">
        <v>81</v>
      </c>
      <c r="B84" s="14" t="s">
        <v>102</v>
      </c>
      <c r="C84" s="15">
        <v>24.7</v>
      </c>
      <c r="D84" s="46">
        <v>1.5E-5</v>
      </c>
      <c r="E84" s="36"/>
      <c r="F84" s="77" t="s">
        <v>18</v>
      </c>
      <c r="G84" s="78">
        <v>5822.69</v>
      </c>
      <c r="H84" s="78">
        <v>2332.8000000000002</v>
      </c>
      <c r="I84" s="83">
        <f>IFERROR(Tabela517[[#This Row],[25. Fat.]]/Tabela517[[#This Row],[24. Fat]],"")</f>
        <v>2.4960090877914949</v>
      </c>
      <c r="J84" s="7"/>
      <c r="L84" s="3" t="s">
        <v>62</v>
      </c>
      <c r="M84" s="5">
        <f>SUMIFS(Tabela113[Valor],Tabela113[Empresa],Tabela618[[#This Row],[Empresa]],Tabela113[Mês],$M$20)</f>
        <v>504.67</v>
      </c>
      <c r="N84" s="5">
        <f>SUMIFS(Tabela18[Valor],Tabela18[Empresa],Tabela618[[#This Row],[Empresa]],Tabela18[Mês],'25. BANCO DE DADOS'!$M$20)</f>
        <v>1205.78</v>
      </c>
      <c r="O84" s="7">
        <f>IFERROR(Tabela618[[#This Row],[25. Fat.]]/Tabela618[[#This Row],[24. Fat]],"")</f>
        <v>0.41854235432665993</v>
      </c>
    </row>
    <row r="85" spans="1:15" ht="15.6" x14ac:dyDescent="0.3">
      <c r="A85" s="45" t="s">
        <v>82</v>
      </c>
      <c r="B85" s="14" t="s">
        <v>102</v>
      </c>
      <c r="C85" s="15">
        <v>23.82</v>
      </c>
      <c r="D85" s="46">
        <v>1.5E-5</v>
      </c>
      <c r="E85" s="36"/>
      <c r="F85" s="77" t="s">
        <v>55</v>
      </c>
      <c r="G85" s="78">
        <v>5168.1499999999996</v>
      </c>
      <c r="H85" s="78">
        <v>2330.42</v>
      </c>
      <c r="I85" s="83">
        <f>IFERROR(Tabela517[[#This Row],[25. Fat.]]/Tabela517[[#This Row],[24. Fat]],"")</f>
        <v>2.2176903734090847</v>
      </c>
      <c r="J85" s="7"/>
      <c r="L85" s="3" t="s">
        <v>63</v>
      </c>
      <c r="M85" s="5">
        <f>SUMIFS(Tabela113[Valor],Tabela113[Empresa],Tabela618[[#This Row],[Empresa]],Tabela113[Mês],$M$20)</f>
        <v>488.89</v>
      </c>
      <c r="N85" s="5">
        <f>SUMIFS(Tabela18[Valor],Tabela18[Empresa],Tabela618[[#This Row],[Empresa]],Tabela18[Mês],'25. BANCO DE DADOS'!$M$20)</f>
        <v>299.7</v>
      </c>
      <c r="O85" s="7">
        <f>IFERROR(Tabela618[[#This Row],[25. Fat.]]/Tabela618[[#This Row],[24. Fat]],"")</f>
        <v>1.6312645979312645</v>
      </c>
    </row>
    <row r="86" spans="1:15" ht="15.6" x14ac:dyDescent="0.3">
      <c r="A86" s="45" t="s">
        <v>83</v>
      </c>
      <c r="B86" s="14" t="s">
        <v>102</v>
      </c>
      <c r="C86" s="15">
        <v>22.88</v>
      </c>
      <c r="D86" s="46">
        <v>1.4E-5</v>
      </c>
      <c r="E86" s="36"/>
      <c r="F86" s="77" t="s">
        <v>53</v>
      </c>
      <c r="G86" s="78">
        <v>5154.66</v>
      </c>
      <c r="H86" s="78">
        <v>2029.83</v>
      </c>
      <c r="I86" s="83">
        <f>IFERROR(Tabela517[[#This Row],[25. Fat.]]/Tabela517[[#This Row],[24. Fat]],"")</f>
        <v>2.5394540429494095</v>
      </c>
      <c r="J86" s="7"/>
      <c r="L86" s="3" t="s">
        <v>64</v>
      </c>
      <c r="M86" s="5">
        <f>SUMIFS(Tabela113[Valor],Tabela113[Empresa],Tabela618[[#This Row],[Empresa]],Tabela113[Mês],$M$20)</f>
        <v>467.7</v>
      </c>
      <c r="N86" s="5">
        <f>SUMIFS(Tabela18[Valor],Tabela18[Empresa],Tabela618[[#This Row],[Empresa]],Tabela18[Mês],'25. BANCO DE DADOS'!$M$20)</f>
        <v>0</v>
      </c>
      <c r="O86" s="7" t="str">
        <f>IFERROR(Tabela618[[#This Row],[25. Fat.]]/Tabela618[[#This Row],[24. Fat]],"")</f>
        <v/>
      </c>
    </row>
    <row r="87" spans="1:15" ht="15.6" x14ac:dyDescent="0.3">
      <c r="A87" s="45" t="s">
        <v>84</v>
      </c>
      <c r="B87" s="14" t="s">
        <v>102</v>
      </c>
      <c r="C87" s="15">
        <v>17.600000000000001</v>
      </c>
      <c r="D87" s="46">
        <v>1.1000000000000001E-5</v>
      </c>
      <c r="E87" s="36"/>
      <c r="F87" s="77" t="s">
        <v>35</v>
      </c>
      <c r="G87" s="78">
        <v>5115.5600000000004</v>
      </c>
      <c r="H87" s="78">
        <v>1773.3</v>
      </c>
      <c r="I87" s="83">
        <f>IFERROR(Tabela517[[#This Row],[25. Fat.]]/Tabela517[[#This Row],[24. Fat]],"")</f>
        <v>2.8847685106862913</v>
      </c>
      <c r="J87" s="7"/>
      <c r="L87" s="3" t="s">
        <v>65</v>
      </c>
      <c r="M87" s="5">
        <f>SUMIFS(Tabela113[Valor],Tabela113[Empresa],Tabela618[[#This Row],[Empresa]],Tabela113[Mês],$M$20)</f>
        <v>456</v>
      </c>
      <c r="N87" s="5">
        <f>SUMIFS(Tabela18[Valor],Tabela18[Empresa],Tabela618[[#This Row],[Empresa]],Tabela18[Mês],'25. BANCO DE DADOS'!$M$20)</f>
        <v>0</v>
      </c>
      <c r="O87" s="7" t="str">
        <f>IFERROR(Tabela618[[#This Row],[25. Fat.]]/Tabela618[[#This Row],[24. Fat]],"")</f>
        <v/>
      </c>
    </row>
    <row r="88" spans="1:15" ht="15.6" x14ac:dyDescent="0.3">
      <c r="A88" s="45" t="s">
        <v>85</v>
      </c>
      <c r="B88" s="14" t="s">
        <v>102</v>
      </c>
      <c r="C88" s="15">
        <v>15.33</v>
      </c>
      <c r="D88" s="46">
        <v>1.0000000000000001E-5</v>
      </c>
      <c r="E88" s="36"/>
      <c r="F88" s="77" t="s">
        <v>34</v>
      </c>
      <c r="G88" s="78">
        <v>4751.5200000000004</v>
      </c>
      <c r="H88" s="78">
        <v>1186.0899999999999</v>
      </c>
      <c r="I88" s="83">
        <f>IFERROR(Tabela517[[#This Row],[25. Fat.]]/Tabela517[[#This Row],[24. Fat]],"")</f>
        <v>4.0060366414015807</v>
      </c>
      <c r="J88" s="7"/>
      <c r="L88" s="3" t="s">
        <v>66</v>
      </c>
      <c r="M88" s="5">
        <f>SUMIFS(Tabela113[Valor],Tabela113[Empresa],Tabela618[[#This Row],[Empresa]],Tabela113[Mês],$M$20)</f>
        <v>394.15</v>
      </c>
      <c r="N88" s="5">
        <f>SUMIFS(Tabela18[Valor],Tabela18[Empresa],Tabela618[[#This Row],[Empresa]],Tabela18[Mês],'25. BANCO DE DADOS'!$M$20)</f>
        <v>202.43</v>
      </c>
      <c r="O88" s="7">
        <f>IFERROR(Tabela618[[#This Row],[25. Fat.]]/Tabela618[[#This Row],[24. Fat]],"")</f>
        <v>1.9470928222101465</v>
      </c>
    </row>
    <row r="89" spans="1:15" ht="15.6" x14ac:dyDescent="0.3">
      <c r="A89" s="45" t="s">
        <v>86</v>
      </c>
      <c r="B89" s="14" t="s">
        <v>102</v>
      </c>
      <c r="C89" s="15">
        <v>14.62</v>
      </c>
      <c r="D89" s="46">
        <v>9.0000000000000002E-6</v>
      </c>
      <c r="E89" s="36"/>
      <c r="F89" s="77" t="s">
        <v>67</v>
      </c>
      <c r="G89" s="78">
        <v>4046.52</v>
      </c>
      <c r="H89" s="78">
        <v>977.74</v>
      </c>
      <c r="I89" s="83">
        <f>IFERROR(Tabela517[[#This Row],[25. Fat.]]/Tabela517[[#This Row],[24. Fat]],"")</f>
        <v>4.138646265878454</v>
      </c>
      <c r="J89" s="7"/>
      <c r="L89" s="3" t="s">
        <v>67</v>
      </c>
      <c r="M89" s="5">
        <f>SUMIFS(Tabela113[Valor],Tabela113[Empresa],Tabela618[[#This Row],[Empresa]],Tabela113[Mês],$M$20)</f>
        <v>384.33</v>
      </c>
      <c r="N89" s="5">
        <f>SUMIFS(Tabela18[Valor],Tabela18[Empresa],Tabela618[[#This Row],[Empresa]],Tabela18[Mês],'25. BANCO DE DADOS'!$M$20)</f>
        <v>1039.71</v>
      </c>
      <c r="O89" s="7">
        <f>IFERROR(Tabela618[[#This Row],[25. Fat.]]/Tabela618[[#This Row],[24. Fat]],"")</f>
        <v>0.36965115272527915</v>
      </c>
    </row>
    <row r="90" spans="1:15" ht="15.6" x14ac:dyDescent="0.3">
      <c r="A90" s="45" t="s">
        <v>87</v>
      </c>
      <c r="B90" s="14" t="s">
        <v>102</v>
      </c>
      <c r="C90" s="15">
        <v>10.86</v>
      </c>
      <c r="D90" s="46">
        <v>6.9999999999999999E-6</v>
      </c>
      <c r="E90" s="36"/>
      <c r="F90" s="77" t="s">
        <v>62</v>
      </c>
      <c r="G90" s="78">
        <v>3740.59</v>
      </c>
      <c r="H90" s="78">
        <v>847.14</v>
      </c>
      <c r="I90" s="83">
        <f>IFERROR(Tabela517[[#This Row],[25. Fat.]]/Tabela517[[#This Row],[24. Fat]],"")</f>
        <v>4.4155511485704846</v>
      </c>
      <c r="J90" s="7"/>
      <c r="L90" s="3" t="s">
        <v>68</v>
      </c>
      <c r="M90" s="5">
        <f>SUMIFS(Tabela113[Valor],Tabela113[Empresa],Tabela618[[#This Row],[Empresa]],Tabela113[Mês],$M$20)</f>
        <v>376.95</v>
      </c>
      <c r="N90" s="5">
        <f>SUMIFS(Tabela18[Valor],Tabela18[Empresa],Tabela618[[#This Row],[Empresa]],Tabela18[Mês],'25. BANCO DE DADOS'!$M$20)</f>
        <v>0</v>
      </c>
      <c r="O90" s="7" t="str">
        <f>IFERROR(Tabela618[[#This Row],[25. Fat.]]/Tabela618[[#This Row],[24. Fat]],"")</f>
        <v/>
      </c>
    </row>
    <row r="91" spans="1:15" ht="15.6" x14ac:dyDescent="0.3">
      <c r="A91" s="45" t="s">
        <v>88</v>
      </c>
      <c r="B91" s="14" t="s">
        <v>102</v>
      </c>
      <c r="C91" s="15">
        <v>9.64</v>
      </c>
      <c r="D91" s="46">
        <v>5.9999999999999993E-6</v>
      </c>
      <c r="E91" s="36"/>
      <c r="F91" s="77" t="s">
        <v>83</v>
      </c>
      <c r="G91" s="78">
        <v>3501.86</v>
      </c>
      <c r="H91" s="78">
        <v>715.04</v>
      </c>
      <c r="I91" s="83">
        <f>IFERROR(Tabela517[[#This Row],[25. Fat.]]/Tabela517[[#This Row],[24. Fat]],"")</f>
        <v>4.8974323114790783</v>
      </c>
      <c r="J91" s="7"/>
      <c r="L91" s="3" t="s">
        <v>69</v>
      </c>
      <c r="M91" s="5">
        <f>SUMIFS(Tabela113[Valor],Tabela113[Empresa],Tabela618[[#This Row],[Empresa]],Tabela113[Mês],$M$20)</f>
        <v>299.85000000000002</v>
      </c>
      <c r="N91" s="5">
        <f>SUMIFS(Tabela18[Valor],Tabela18[Empresa],Tabela618[[#This Row],[Empresa]],Tabela18[Mês],'25. BANCO DE DADOS'!$M$20)</f>
        <v>0</v>
      </c>
      <c r="O91" s="7" t="str">
        <f>IFERROR(Tabela618[[#This Row],[25. Fat.]]/Tabela618[[#This Row],[24. Fat]],"")</f>
        <v/>
      </c>
    </row>
    <row r="92" spans="1:15" ht="15.6" x14ac:dyDescent="0.3">
      <c r="A92" s="45" t="s">
        <v>89</v>
      </c>
      <c r="B92" s="14" t="s">
        <v>102</v>
      </c>
      <c r="C92" s="15">
        <v>6.99</v>
      </c>
      <c r="D92" s="46">
        <v>3.9999999999999998E-6</v>
      </c>
      <c r="E92" s="36"/>
      <c r="F92" s="77" t="s">
        <v>84</v>
      </c>
      <c r="G92" s="78">
        <v>2932.56</v>
      </c>
      <c r="H92" s="78">
        <v>674.74</v>
      </c>
      <c r="I92" s="83">
        <f>IFERROR(Tabela517[[#This Row],[25. Fat.]]/Tabela517[[#This Row],[24. Fat]],"")</f>
        <v>4.3462074280463581</v>
      </c>
      <c r="J92" s="7"/>
      <c r="L92" s="3" t="s">
        <v>70</v>
      </c>
      <c r="M92" s="5">
        <f>SUMIFS(Tabela113[Valor],Tabela113[Empresa],Tabela618[[#This Row],[Empresa]],Tabela113[Mês],$M$20)</f>
        <v>183.68</v>
      </c>
      <c r="N92" s="5">
        <f>SUMIFS(Tabela18[Valor],Tabela18[Empresa],Tabela618[[#This Row],[Empresa]],Tabela18[Mês],'25. BANCO DE DADOS'!$M$20)</f>
        <v>0</v>
      </c>
      <c r="O92" s="7" t="str">
        <f>IFERROR(Tabela618[[#This Row],[25. Fat.]]/Tabela618[[#This Row],[24. Fat]],"")</f>
        <v/>
      </c>
    </row>
    <row r="93" spans="1:15" ht="15.6" x14ac:dyDescent="0.3">
      <c r="A93" s="45" t="s">
        <v>1</v>
      </c>
      <c r="B93" s="14" t="s">
        <v>103</v>
      </c>
      <c r="C93" s="15">
        <v>226733.45</v>
      </c>
      <c r="D93" s="46">
        <v>0.16373000000000001</v>
      </c>
      <c r="E93" s="36"/>
      <c r="F93" s="77" t="s">
        <v>96</v>
      </c>
      <c r="G93" s="78">
        <v>2873.57</v>
      </c>
      <c r="H93" s="78">
        <v>496.51</v>
      </c>
      <c r="I93" s="83">
        <f>IFERROR(Tabela517[[#This Row],[25. Fat.]]/Tabela517[[#This Row],[24. Fat]],"")</f>
        <v>5.7875370083180604</v>
      </c>
      <c r="J93" s="7"/>
      <c r="L93" s="3" t="s">
        <v>71</v>
      </c>
      <c r="M93" s="5">
        <f>SUMIFS(Tabela113[Valor],Tabela113[Empresa],Tabela618[[#This Row],[Empresa]],Tabela113[Mês],$M$20)</f>
        <v>168.18</v>
      </c>
      <c r="N93" s="5">
        <f>SUMIFS(Tabela18[Valor],Tabela18[Empresa],Tabela618[[#This Row],[Empresa]],Tabela18[Mês],'25. BANCO DE DADOS'!$M$20)</f>
        <v>181.38</v>
      </c>
      <c r="O93" s="7">
        <f>IFERROR(Tabela618[[#This Row],[25. Fat.]]/Tabela618[[#This Row],[24. Fat]],"")</f>
        <v>0.92722461131326506</v>
      </c>
    </row>
    <row r="94" spans="1:15" ht="15.6" x14ac:dyDescent="0.3">
      <c r="A94" s="45" t="s">
        <v>0</v>
      </c>
      <c r="B94" s="14" t="s">
        <v>103</v>
      </c>
      <c r="C94" s="15">
        <v>161355.42000000001</v>
      </c>
      <c r="D94" s="46">
        <v>0.116519</v>
      </c>
      <c r="E94" s="36"/>
      <c r="F94" s="77" t="s">
        <v>76</v>
      </c>
      <c r="G94" s="78">
        <v>2729.67</v>
      </c>
      <c r="H94" s="78">
        <v>481.81</v>
      </c>
      <c r="I94" s="83">
        <f>IFERROR(Tabela517[[#This Row],[25. Fat.]]/Tabela517[[#This Row],[24. Fat]],"")</f>
        <v>5.6654490359270255</v>
      </c>
      <c r="J94" s="7"/>
      <c r="L94" s="3" t="s">
        <v>72</v>
      </c>
      <c r="M94" s="5">
        <f>SUMIFS(Tabela113[Valor],Tabela113[Empresa],Tabela618[[#This Row],[Empresa]],Tabela113[Mês],$M$20)</f>
        <v>138.69999999999999</v>
      </c>
      <c r="N94" s="5">
        <f>SUMIFS(Tabela18[Valor],Tabela18[Empresa],Tabela618[[#This Row],[Empresa]],Tabela18[Mês],'25. BANCO DE DADOS'!$M$20)</f>
        <v>524.39</v>
      </c>
      <c r="O94" s="7">
        <f>IFERROR(Tabela618[[#This Row],[25. Fat.]]/Tabela618[[#This Row],[24. Fat]],"")</f>
        <v>0.26449779744083601</v>
      </c>
    </row>
    <row r="95" spans="1:15" ht="15.6" x14ac:dyDescent="0.3">
      <c r="A95" s="45" t="s">
        <v>2</v>
      </c>
      <c r="B95" s="14" t="s">
        <v>103</v>
      </c>
      <c r="C95" s="15">
        <v>129732.38</v>
      </c>
      <c r="D95" s="46">
        <v>9.3683000000000002E-2</v>
      </c>
      <c r="E95" s="36"/>
      <c r="F95" s="77" t="s">
        <v>60</v>
      </c>
      <c r="G95" s="78">
        <v>2716.89</v>
      </c>
      <c r="H95" s="78">
        <v>467.93</v>
      </c>
      <c r="I95" s="83">
        <f>IFERROR(Tabela517[[#This Row],[25. Fat.]]/Tabela517[[#This Row],[24. Fat]],"")</f>
        <v>5.8061889598871623</v>
      </c>
      <c r="J95" s="7"/>
      <c r="L95" s="3" t="s">
        <v>73</v>
      </c>
      <c r="M95" s="5">
        <f>SUMIFS(Tabela113[Valor],Tabela113[Empresa],Tabela618[[#This Row],[Empresa]],Tabela113[Mês],$M$20)</f>
        <v>127.05</v>
      </c>
      <c r="N95" s="5">
        <f>SUMIFS(Tabela18[Valor],Tabela18[Empresa],Tabela618[[#This Row],[Empresa]],Tabela18[Mês],'25. BANCO DE DADOS'!$M$20)</f>
        <v>0</v>
      </c>
      <c r="O95" s="7" t="str">
        <f>IFERROR(Tabela618[[#This Row],[25. Fat.]]/Tabela618[[#This Row],[24. Fat]],"")</f>
        <v/>
      </c>
    </row>
    <row r="96" spans="1:15" ht="15.6" x14ac:dyDescent="0.3">
      <c r="A96" s="45" t="s">
        <v>3</v>
      </c>
      <c r="B96" s="14" t="s">
        <v>103</v>
      </c>
      <c r="C96" s="15">
        <v>100248.87</v>
      </c>
      <c r="D96" s="46">
        <v>7.2391999999999998E-2</v>
      </c>
      <c r="E96" s="36"/>
      <c r="F96" s="77" t="s">
        <v>91</v>
      </c>
      <c r="G96" s="78">
        <v>2267.6999999999998</v>
      </c>
      <c r="H96" s="78">
        <v>405.12</v>
      </c>
      <c r="I96" s="83">
        <f>IFERROR(Tabela517[[#This Row],[25. Fat.]]/Tabela517[[#This Row],[24. Fat]],"")</f>
        <v>5.5976007109004735</v>
      </c>
      <c r="J96" s="7"/>
      <c r="L96" s="3" t="s">
        <v>74</v>
      </c>
      <c r="M96" s="5">
        <f>SUMIFS(Tabela113[Valor],Tabela113[Empresa],Tabela618[[#This Row],[Empresa]],Tabela113[Mês],$M$20)</f>
        <v>114.39</v>
      </c>
      <c r="N96" s="5">
        <f>SUMIFS(Tabela18[Valor],Tabela18[Empresa],Tabela618[[#This Row],[Empresa]],Tabela18[Mês],'25. BANCO DE DADOS'!$M$20)</f>
        <v>204.5</v>
      </c>
      <c r="O96" s="7">
        <f>IFERROR(Tabela618[[#This Row],[25. Fat.]]/Tabela618[[#This Row],[24. Fat]],"")</f>
        <v>0.55936430317848407</v>
      </c>
    </row>
    <row r="97" spans="1:15" ht="15.6" x14ac:dyDescent="0.3">
      <c r="A97" s="45" t="s">
        <v>8</v>
      </c>
      <c r="B97" s="14" t="s">
        <v>103</v>
      </c>
      <c r="C97" s="15">
        <v>84810.34</v>
      </c>
      <c r="D97" s="46">
        <v>6.1243999999999993E-2</v>
      </c>
      <c r="E97" s="36"/>
      <c r="F97" s="77" t="s">
        <v>36</v>
      </c>
      <c r="G97" s="78">
        <v>2243.48</v>
      </c>
      <c r="H97" s="78">
        <v>359.92</v>
      </c>
      <c r="I97" s="83">
        <f>IFERROR(Tabela517[[#This Row],[25. Fat.]]/Tabela517[[#This Row],[24. Fat]],"")</f>
        <v>6.2332740609024224</v>
      </c>
      <c r="J97" s="7"/>
      <c r="L97" s="3" t="s">
        <v>75</v>
      </c>
      <c r="M97" s="5">
        <f>SUMIFS(Tabela113[Valor],Tabela113[Empresa],Tabela618[[#This Row],[Empresa]],Tabela113[Mês],$M$20)</f>
        <v>114.12</v>
      </c>
      <c r="N97" s="5">
        <f>SUMIFS(Tabela18[Valor],Tabela18[Empresa],Tabela618[[#This Row],[Empresa]],Tabela18[Mês],'25. BANCO DE DADOS'!$M$20)</f>
        <v>95.1</v>
      </c>
      <c r="O97" s="7">
        <f>IFERROR(Tabela618[[#This Row],[25. Fat.]]/Tabela618[[#This Row],[24. Fat]],"")</f>
        <v>1.2000000000000002</v>
      </c>
    </row>
    <row r="98" spans="1:15" ht="15.6" x14ac:dyDescent="0.3">
      <c r="A98" s="45" t="s">
        <v>6</v>
      </c>
      <c r="B98" s="14" t="s">
        <v>103</v>
      </c>
      <c r="C98" s="15">
        <v>66698.52</v>
      </c>
      <c r="D98" s="46">
        <v>4.8164999999999993E-2</v>
      </c>
      <c r="E98" s="36"/>
      <c r="F98" s="77" t="s">
        <v>58</v>
      </c>
      <c r="G98" s="78">
        <v>2181.14</v>
      </c>
      <c r="H98" s="78">
        <v>356.23</v>
      </c>
      <c r="I98" s="83">
        <f>IFERROR(Tabela517[[#This Row],[25. Fat.]]/Tabela517[[#This Row],[24. Fat]],"")</f>
        <v>6.1228419841113881</v>
      </c>
      <c r="J98" s="7"/>
      <c r="L98" s="3" t="s">
        <v>76</v>
      </c>
      <c r="M98" s="5">
        <f>SUMIFS(Tabela113[Valor],Tabela113[Empresa],Tabela618[[#This Row],[Empresa]],Tabela113[Mês],$M$20)</f>
        <v>105.98</v>
      </c>
      <c r="N98" s="5">
        <f>SUMIFS(Tabela18[Valor],Tabela18[Empresa],Tabela618[[#This Row],[Empresa]],Tabela18[Mês],'25. BANCO DE DADOS'!$M$20)</f>
        <v>217.19</v>
      </c>
      <c r="O98" s="7">
        <f>IFERROR(Tabela618[[#This Row],[25. Fat.]]/Tabela618[[#This Row],[24. Fat]],"")</f>
        <v>0.48795985082186105</v>
      </c>
    </row>
    <row r="99" spans="1:15" ht="15.6" x14ac:dyDescent="0.3">
      <c r="A99" s="45" t="s">
        <v>7</v>
      </c>
      <c r="B99" s="14" t="s">
        <v>103</v>
      </c>
      <c r="C99" s="15">
        <v>58153.42</v>
      </c>
      <c r="D99" s="46">
        <v>4.1993999999999997E-2</v>
      </c>
      <c r="E99" s="36"/>
      <c r="F99" s="77" t="s">
        <v>164</v>
      </c>
      <c r="G99" s="78">
        <v>2167.6799999999998</v>
      </c>
      <c r="H99" s="78">
        <v>341.8</v>
      </c>
      <c r="I99" s="83">
        <f>IFERROR(Tabela517[[#This Row],[25. Fat.]]/Tabela517[[#This Row],[24. Fat]],"")</f>
        <v>6.3419543592744292</v>
      </c>
      <c r="J99" s="7"/>
      <c r="L99" s="3" t="s">
        <v>77</v>
      </c>
      <c r="M99" s="5">
        <f>SUMIFS(Tabela113[Valor],Tabela113[Empresa],Tabela618[[#This Row],[Empresa]],Tabela113[Mês],$M$20)</f>
        <v>92.25</v>
      </c>
      <c r="N99" s="5">
        <f>SUMIFS(Tabela18[Valor],Tabela18[Empresa],Tabela618[[#This Row],[Empresa]],Tabela18[Mês],'25. BANCO DE DADOS'!$M$20)</f>
        <v>0</v>
      </c>
      <c r="O99" s="7" t="str">
        <f>IFERROR(Tabela618[[#This Row],[25. Fat.]]/Tabela618[[#This Row],[24. Fat]],"")</f>
        <v/>
      </c>
    </row>
    <row r="100" spans="1:15" ht="15.6" x14ac:dyDescent="0.3">
      <c r="A100" s="45" t="s">
        <v>4</v>
      </c>
      <c r="B100" s="14" t="s">
        <v>103</v>
      </c>
      <c r="C100" s="15">
        <v>56883.08</v>
      </c>
      <c r="D100" s="46">
        <v>4.1077000000000002E-2</v>
      </c>
      <c r="E100" s="36"/>
      <c r="F100" s="77" t="s">
        <v>81</v>
      </c>
      <c r="G100" s="78">
        <v>2105.46</v>
      </c>
      <c r="H100" s="78">
        <v>295.13</v>
      </c>
      <c r="I100" s="83">
        <f>IFERROR(Tabela517[[#This Row],[25. Fat.]]/Tabela517[[#This Row],[24. Fat]],"")</f>
        <v>7.1340087419103444</v>
      </c>
      <c r="J100" s="7"/>
      <c r="L100" s="3" t="s">
        <v>78</v>
      </c>
      <c r="M100" s="5">
        <f>SUMIFS(Tabela113[Valor],Tabela113[Empresa],Tabela618[[#This Row],[Empresa]],Tabela113[Mês],$M$20)</f>
        <v>66.78</v>
      </c>
      <c r="N100" s="5">
        <f>SUMIFS(Tabela18[Valor],Tabela18[Empresa],Tabela618[[#This Row],[Empresa]],Tabela18[Mês],'25. BANCO DE DADOS'!$M$20)</f>
        <v>0</v>
      </c>
      <c r="O100" s="7" t="str">
        <f>IFERROR(Tabela618[[#This Row],[25. Fat.]]/Tabela618[[#This Row],[24. Fat]],"")</f>
        <v/>
      </c>
    </row>
    <row r="101" spans="1:15" ht="15.6" x14ac:dyDescent="0.3">
      <c r="A101" s="45" t="s">
        <v>10</v>
      </c>
      <c r="B101" s="14" t="s">
        <v>103</v>
      </c>
      <c r="C101" s="15">
        <v>52102</v>
      </c>
      <c r="D101" s="46">
        <v>3.7623999999999998E-2</v>
      </c>
      <c r="E101" s="36"/>
      <c r="F101" s="77" t="s">
        <v>22</v>
      </c>
      <c r="G101" s="78">
        <v>2033.69</v>
      </c>
      <c r="H101" s="78">
        <v>279.32</v>
      </c>
      <c r="I101" s="83">
        <f>IFERROR(Tabela517[[#This Row],[25. Fat.]]/Tabela517[[#This Row],[24. Fat]],"")</f>
        <v>7.2808606616067593</v>
      </c>
      <c r="J101" s="7"/>
      <c r="L101" s="3" t="s">
        <v>79</v>
      </c>
      <c r="M101" s="5">
        <f>SUMIFS(Tabela113[Valor],Tabela113[Empresa],Tabela618[[#This Row],[Empresa]],Tabela113[Mês],$M$20)</f>
        <v>52.82</v>
      </c>
      <c r="N101" s="5">
        <f>SUMIFS(Tabela18[Valor],Tabela18[Empresa],Tabela618[[#This Row],[Empresa]],Tabela18[Mês],'25. BANCO DE DADOS'!$M$20)</f>
        <v>0</v>
      </c>
      <c r="O101" s="7" t="str">
        <f>IFERROR(Tabela618[[#This Row],[25. Fat.]]/Tabela618[[#This Row],[24. Fat]],"")</f>
        <v/>
      </c>
    </row>
    <row r="102" spans="1:15" ht="15.6" x14ac:dyDescent="0.3">
      <c r="A102" s="45" t="s">
        <v>5</v>
      </c>
      <c r="B102" s="14" t="s">
        <v>103</v>
      </c>
      <c r="C102" s="15">
        <v>51933.38</v>
      </c>
      <c r="D102" s="46">
        <v>3.7502000000000001E-2</v>
      </c>
      <c r="E102" s="36"/>
      <c r="F102" s="77" t="s">
        <v>65</v>
      </c>
      <c r="G102" s="78">
        <v>2012.4</v>
      </c>
      <c r="H102" s="78">
        <v>218.68</v>
      </c>
      <c r="I102" s="83">
        <f>IFERROR(Tabela517[[#This Row],[25. Fat.]]/Tabela517[[#This Row],[24. Fat]],"")</f>
        <v>9.2024876531918789</v>
      </c>
      <c r="J102" s="7"/>
      <c r="L102" s="3" t="s">
        <v>80</v>
      </c>
      <c r="M102" s="5">
        <f>SUMIFS(Tabela113[Valor],Tabela113[Empresa],Tabela618[[#This Row],[Empresa]],Tabela113[Mês],$M$20)</f>
        <v>38.5</v>
      </c>
      <c r="N102" s="5">
        <f>SUMIFS(Tabela18[Valor],Tabela18[Empresa],Tabela618[[#This Row],[Empresa]],Tabela18[Mês],'25. BANCO DE DADOS'!$M$20)</f>
        <v>193.78</v>
      </c>
      <c r="O102" s="7">
        <f>IFERROR(Tabela618[[#This Row],[25. Fat.]]/Tabela618[[#This Row],[24. Fat]],"")</f>
        <v>0.19867891423263495</v>
      </c>
    </row>
    <row r="103" spans="1:15" ht="15.6" x14ac:dyDescent="0.3">
      <c r="A103" s="45" t="s">
        <v>9</v>
      </c>
      <c r="B103" s="14" t="s">
        <v>103</v>
      </c>
      <c r="C103" s="15">
        <v>41168.449999999997</v>
      </c>
      <c r="D103" s="46">
        <v>2.9729000000000002E-2</v>
      </c>
      <c r="E103" s="36"/>
      <c r="F103" s="77" t="s">
        <v>68</v>
      </c>
      <c r="G103" s="78">
        <v>1922.17</v>
      </c>
      <c r="H103" s="78">
        <v>214.36</v>
      </c>
      <c r="I103" s="83">
        <f>IFERROR(Tabela517[[#This Row],[25. Fat.]]/Tabela517[[#This Row],[24. Fat]],"")</f>
        <v>8.9670181003918632</v>
      </c>
      <c r="J103" s="7"/>
      <c r="L103" s="3" t="s">
        <v>81</v>
      </c>
      <c r="M103" s="5">
        <f>SUMIFS(Tabela113[Valor],Tabela113[Empresa],Tabela618[[#This Row],[Empresa]],Tabela113[Mês],$M$20)</f>
        <v>24.7</v>
      </c>
      <c r="N103" s="5">
        <f>SUMIFS(Tabela18[Valor],Tabela18[Empresa],Tabela618[[#This Row],[Empresa]],Tabela18[Mês],'25. BANCO DE DADOS'!$M$20)</f>
        <v>127.09</v>
      </c>
      <c r="O103" s="7">
        <f>IFERROR(Tabela618[[#This Row],[25. Fat.]]/Tabela618[[#This Row],[24. Fat]],"")</f>
        <v>0.19435046030372177</v>
      </c>
    </row>
    <row r="104" spans="1:15" ht="15.6" x14ac:dyDescent="0.3">
      <c r="A104" s="45" t="s">
        <v>14</v>
      </c>
      <c r="B104" s="14" t="s">
        <v>103</v>
      </c>
      <c r="C104" s="15">
        <v>36547.06</v>
      </c>
      <c r="D104" s="46">
        <v>2.6391000000000001E-2</v>
      </c>
      <c r="E104" s="36"/>
      <c r="F104" s="77" t="s">
        <v>169</v>
      </c>
      <c r="G104" s="78">
        <v>1868.45</v>
      </c>
      <c r="H104" s="78">
        <v>187.91</v>
      </c>
      <c r="I104" s="83">
        <f>IFERROR(Tabela517[[#This Row],[25. Fat.]]/Tabela517[[#This Row],[24. Fat]],"")</f>
        <v>9.9433239316694166</v>
      </c>
      <c r="J104" s="7"/>
      <c r="L104" s="3" t="s">
        <v>82</v>
      </c>
      <c r="M104" s="5">
        <f>SUMIFS(Tabela113[Valor],Tabela113[Empresa],Tabela618[[#This Row],[Empresa]],Tabela113[Mês],$M$20)</f>
        <v>23.82</v>
      </c>
      <c r="N104" s="5">
        <f>SUMIFS(Tabela18[Valor],Tabela18[Empresa],Tabela618[[#This Row],[Empresa]],Tabela18[Mês],'25. BANCO DE DADOS'!$M$20)</f>
        <v>112.38</v>
      </c>
      <c r="O104" s="7">
        <f>IFERROR(Tabela618[[#This Row],[25. Fat.]]/Tabela618[[#This Row],[24. Fat]],"")</f>
        <v>0.21195942338494395</v>
      </c>
    </row>
    <row r="105" spans="1:15" ht="15.6" x14ac:dyDescent="0.3">
      <c r="A105" s="45" t="s">
        <v>12</v>
      </c>
      <c r="B105" s="14" t="s">
        <v>103</v>
      </c>
      <c r="C105" s="15">
        <v>29567.23</v>
      </c>
      <c r="D105" s="46">
        <v>2.1350999999999998E-2</v>
      </c>
      <c r="E105" s="36"/>
      <c r="F105" s="77" t="s">
        <v>88</v>
      </c>
      <c r="G105" s="78">
        <v>1543.5</v>
      </c>
      <c r="H105" s="78">
        <v>152.56</v>
      </c>
      <c r="I105" s="83">
        <f>IFERROR(Tabela517[[#This Row],[25. Fat.]]/Tabela517[[#This Row],[24. Fat]],"")</f>
        <v>10.117330886208705</v>
      </c>
      <c r="J105" s="7"/>
      <c r="L105" s="3" t="s">
        <v>83</v>
      </c>
      <c r="M105" s="5">
        <f>SUMIFS(Tabela113[Valor],Tabela113[Empresa],Tabela618[[#This Row],[Empresa]],Tabela113[Mês],$M$20)</f>
        <v>22.88</v>
      </c>
      <c r="N105" s="5">
        <f>SUMIFS(Tabela18[Valor],Tabela18[Empresa],Tabela618[[#This Row],[Empresa]],Tabela18[Mês],'25. BANCO DE DADOS'!$M$20)</f>
        <v>2.72</v>
      </c>
      <c r="O105" s="7">
        <f>IFERROR(Tabela618[[#This Row],[25. Fat.]]/Tabela618[[#This Row],[24. Fat]],"")</f>
        <v>8.4117647058823515</v>
      </c>
    </row>
    <row r="106" spans="1:15" ht="15.6" x14ac:dyDescent="0.3">
      <c r="A106" s="45" t="s">
        <v>11</v>
      </c>
      <c r="B106" s="14" t="s">
        <v>103</v>
      </c>
      <c r="C106" s="15">
        <v>27281.09</v>
      </c>
      <c r="D106" s="46">
        <v>1.9699999999999999E-2</v>
      </c>
      <c r="E106" s="36"/>
      <c r="F106" s="77" t="s">
        <v>75</v>
      </c>
      <c r="G106" s="78">
        <v>1320.83</v>
      </c>
      <c r="H106" s="78">
        <v>123.29</v>
      </c>
      <c r="I106" s="83">
        <f>IFERROR(Tabela517[[#This Row],[25. Fat.]]/Tabela517[[#This Row],[24. Fat]],"")</f>
        <v>10.713196528510016</v>
      </c>
      <c r="J106" s="7"/>
      <c r="L106" s="3" t="s">
        <v>84</v>
      </c>
      <c r="M106" s="5">
        <f>SUMIFS(Tabela113[Valor],Tabela113[Empresa],Tabela618[[#This Row],[Empresa]],Tabela113[Mês],$M$20)</f>
        <v>17.600000000000001</v>
      </c>
      <c r="N106" s="5">
        <f>SUMIFS(Tabela18[Valor],Tabela18[Empresa],Tabela618[[#This Row],[Empresa]],Tabela18[Mês],'25. BANCO DE DADOS'!$M$20)</f>
        <v>0</v>
      </c>
      <c r="O106" s="7" t="str">
        <f>IFERROR(Tabela618[[#This Row],[25. Fat.]]/Tabela618[[#This Row],[24. Fat]],"")</f>
        <v/>
      </c>
    </row>
    <row r="107" spans="1:15" ht="15.6" x14ac:dyDescent="0.3">
      <c r="A107" s="45" t="s">
        <v>28</v>
      </c>
      <c r="B107" s="14" t="s">
        <v>103</v>
      </c>
      <c r="C107" s="15">
        <v>23559.02</v>
      </c>
      <c r="D107" s="46">
        <v>1.7013E-2</v>
      </c>
      <c r="E107" s="36"/>
      <c r="F107" s="77" t="s">
        <v>66</v>
      </c>
      <c r="G107" s="78">
        <v>1264.1199999999999</v>
      </c>
      <c r="H107" s="78">
        <v>107.88</v>
      </c>
      <c r="I107" s="83">
        <f>IFERROR(Tabela517[[#This Row],[25. Fat.]]/Tabela517[[#This Row],[24. Fat]],"")</f>
        <v>11.717834631071561</v>
      </c>
      <c r="J107" s="7"/>
      <c r="L107" s="3" t="s">
        <v>85</v>
      </c>
      <c r="M107" s="5">
        <f>SUMIFS(Tabela113[Valor],Tabela113[Empresa],Tabela618[[#This Row],[Empresa]],Tabela113[Mês],$M$20)</f>
        <v>15.33</v>
      </c>
      <c r="N107" s="5">
        <f>SUMIFS(Tabela18[Valor],Tabela18[Empresa],Tabela618[[#This Row],[Empresa]],Tabela18[Mês],'25. BANCO DE DADOS'!$M$20)</f>
        <v>13.14</v>
      </c>
      <c r="O107" s="7">
        <f>IFERROR(Tabela618[[#This Row],[25. Fat.]]/Tabela618[[#This Row],[24. Fat]],"")</f>
        <v>1.1666666666666665</v>
      </c>
    </row>
    <row r="108" spans="1:15" ht="15.6" x14ac:dyDescent="0.3">
      <c r="A108" s="45" t="s">
        <v>24</v>
      </c>
      <c r="B108" s="14" t="s">
        <v>103</v>
      </c>
      <c r="C108" s="15">
        <v>22246.26</v>
      </c>
      <c r="D108" s="46">
        <v>1.6064999999999999E-2</v>
      </c>
      <c r="E108" s="36"/>
      <c r="F108" s="77" t="s">
        <v>37</v>
      </c>
      <c r="G108" s="78">
        <v>1064.18</v>
      </c>
      <c r="H108" s="78">
        <v>94.58</v>
      </c>
      <c r="I108" s="83">
        <f>IFERROR(Tabela517[[#This Row],[25. Fat.]]/Tabela517[[#This Row],[24. Fat]],"")</f>
        <v>11.251638824275746</v>
      </c>
      <c r="J108" s="7"/>
      <c r="L108" s="3" t="s">
        <v>86</v>
      </c>
      <c r="M108" s="5">
        <f>SUMIFS(Tabela113[Valor],Tabela113[Empresa],Tabela618[[#This Row],[Empresa]],Tabela113[Mês],$M$20)</f>
        <v>14.62</v>
      </c>
      <c r="N108" s="5">
        <f>SUMIFS(Tabela18[Valor],Tabela18[Empresa],Tabela618[[#This Row],[Empresa]],Tabela18[Mês],'25. BANCO DE DADOS'!$M$20)</f>
        <v>0</v>
      </c>
      <c r="O108" s="7" t="str">
        <f>IFERROR(Tabela618[[#This Row],[25. Fat.]]/Tabela618[[#This Row],[24. Fat]],"")</f>
        <v/>
      </c>
    </row>
    <row r="109" spans="1:15" ht="15.6" x14ac:dyDescent="0.3">
      <c r="A109" s="45" t="s">
        <v>26</v>
      </c>
      <c r="B109" s="14" t="s">
        <v>103</v>
      </c>
      <c r="C109" s="15">
        <v>22063.02</v>
      </c>
      <c r="D109" s="46">
        <v>1.5931999999999998E-2</v>
      </c>
      <c r="E109" s="36"/>
      <c r="F109" s="77" t="s">
        <v>49</v>
      </c>
      <c r="G109" s="78">
        <v>1056</v>
      </c>
      <c r="H109" s="78">
        <v>82.99</v>
      </c>
      <c r="I109" s="83">
        <f>IFERROR(Tabela517[[#This Row],[25. Fat.]]/Tabela517[[#This Row],[24. Fat]],"")</f>
        <v>12.724424629473431</v>
      </c>
      <c r="J109" s="7"/>
      <c r="L109" s="3" t="s">
        <v>87</v>
      </c>
      <c r="M109" s="5">
        <f>SUMIFS(Tabela113[Valor],Tabela113[Empresa],Tabela618[[#This Row],[Empresa]],Tabela113[Mês],$M$20)</f>
        <v>10.86</v>
      </c>
      <c r="N109" s="5">
        <f>SUMIFS(Tabela18[Valor],Tabela18[Empresa],Tabela618[[#This Row],[Empresa]],Tabela18[Mês],'25. BANCO DE DADOS'!$M$20)</f>
        <v>185.41</v>
      </c>
      <c r="O109" s="7">
        <f>IFERROR(Tabela618[[#This Row],[25. Fat.]]/Tabela618[[#This Row],[24. Fat]],"")</f>
        <v>5.8572892508494685E-2</v>
      </c>
    </row>
    <row r="110" spans="1:15" ht="15.6" x14ac:dyDescent="0.3">
      <c r="A110" s="45" t="s">
        <v>13</v>
      </c>
      <c r="B110" s="14" t="s">
        <v>103</v>
      </c>
      <c r="C110" s="15">
        <v>17738.72</v>
      </c>
      <c r="D110" s="46">
        <v>1.2809999999999998E-2</v>
      </c>
      <c r="E110" s="36"/>
      <c r="F110" s="77" t="s">
        <v>52</v>
      </c>
      <c r="G110" s="78">
        <v>1023.35</v>
      </c>
      <c r="H110" s="78">
        <v>63.09</v>
      </c>
      <c r="I110" s="83">
        <f>IFERROR(Tabela517[[#This Row],[25. Fat.]]/Tabela517[[#This Row],[24. Fat]],"")</f>
        <v>16.220478681249009</v>
      </c>
      <c r="J110" s="7"/>
      <c r="L110" s="3" t="s">
        <v>88</v>
      </c>
      <c r="M110" s="5">
        <f>SUMIFS(Tabela113[Valor],Tabela113[Empresa],Tabela618[[#This Row],[Empresa]],Tabela113[Mês],$M$20)</f>
        <v>9.64</v>
      </c>
      <c r="N110" s="5">
        <f>SUMIFS(Tabela18[Valor],Tabela18[Empresa],Tabela618[[#This Row],[Empresa]],Tabela18[Mês],'25. BANCO DE DADOS'!$M$20)</f>
        <v>69.900000000000006</v>
      </c>
      <c r="O110" s="7">
        <f>IFERROR(Tabela618[[#This Row],[25. Fat.]]/Tabela618[[#This Row],[24. Fat]],"")</f>
        <v>0.13791130185979972</v>
      </c>
    </row>
    <row r="111" spans="1:15" ht="15.6" x14ac:dyDescent="0.3">
      <c r="A111" s="45" t="s">
        <v>20</v>
      </c>
      <c r="B111" s="14" t="s">
        <v>103</v>
      </c>
      <c r="C111" s="15">
        <v>15871.99</v>
      </c>
      <c r="D111" s="46">
        <v>1.1462000000000002E-2</v>
      </c>
      <c r="E111" s="36"/>
      <c r="F111" s="77" t="s">
        <v>80</v>
      </c>
      <c r="G111" s="78">
        <v>866.16</v>
      </c>
      <c r="H111" s="78">
        <v>51.12</v>
      </c>
      <c r="I111" s="83">
        <f>IFERROR(Tabela517[[#This Row],[25. Fat.]]/Tabela517[[#This Row],[24. Fat]],"")</f>
        <v>16.943661971830988</v>
      </c>
      <c r="J111" s="7"/>
      <c r="L111" s="3" t="s">
        <v>89</v>
      </c>
      <c r="M111" s="5">
        <f>SUMIFS(Tabela113[Valor],Tabela113[Empresa],Tabela618[[#This Row],[Empresa]],Tabela113[Mês],$M$20)</f>
        <v>6.99</v>
      </c>
      <c r="N111" s="5">
        <f>SUMIFS(Tabela18[Valor],Tabela18[Empresa],Tabela618[[#This Row],[Empresa]],Tabela18[Mês],'25. BANCO DE DADOS'!$M$20)</f>
        <v>13.98</v>
      </c>
      <c r="O111" s="7">
        <f>IFERROR(Tabela618[[#This Row],[25. Fat.]]/Tabela618[[#This Row],[24. Fat]],"")</f>
        <v>0.5</v>
      </c>
    </row>
    <row r="112" spans="1:15" ht="15.6" x14ac:dyDescent="0.3">
      <c r="A112" s="45" t="s">
        <v>15</v>
      </c>
      <c r="B112" s="14" t="s">
        <v>103</v>
      </c>
      <c r="C112" s="15">
        <v>15035.16</v>
      </c>
      <c r="D112" s="46">
        <v>1.0857E-2</v>
      </c>
      <c r="E112" s="36"/>
      <c r="F112" s="77" t="s">
        <v>149</v>
      </c>
      <c r="G112" s="78">
        <v>784.8</v>
      </c>
      <c r="H112" s="78">
        <v>48.11</v>
      </c>
      <c r="I112" s="83">
        <f>IFERROR(Tabela517[[#This Row],[25. Fat.]]/Tabela517[[#This Row],[24. Fat]],"")</f>
        <v>16.312616919559343</v>
      </c>
      <c r="J112" s="7"/>
      <c r="L112" s="3" t="s">
        <v>95</v>
      </c>
      <c r="M112" s="5">
        <f>SUMIFS(Tabela113[Valor],Tabela113[Empresa],Tabela618[[#This Row],[Empresa]],Tabela113[Mês],$M$20)</f>
        <v>0</v>
      </c>
      <c r="N112" s="5">
        <f>SUMIFS(Tabela18[Valor],Tabela18[Empresa],Tabela618[[#This Row],[Empresa]],Tabela18[Mês],'25. BANCO DE DADOS'!$M$20)</f>
        <v>0</v>
      </c>
      <c r="O112" s="7" t="str">
        <f>IFERROR(Tabela618[[#This Row],[25. Fat.]]/Tabela618[[#This Row],[24. Fat]],"")</f>
        <v/>
      </c>
    </row>
    <row r="113" spans="1:15" ht="15.6" x14ac:dyDescent="0.3">
      <c r="A113" s="45" t="s">
        <v>19</v>
      </c>
      <c r="B113" s="14" t="s">
        <v>103</v>
      </c>
      <c r="C113" s="15">
        <v>14604.84</v>
      </c>
      <c r="D113" s="46">
        <v>1.0546E-2</v>
      </c>
      <c r="E113" s="36"/>
      <c r="F113" s="77" t="s">
        <v>79</v>
      </c>
      <c r="G113" s="78">
        <v>778.66</v>
      </c>
      <c r="H113" s="78">
        <v>47.79</v>
      </c>
      <c r="I113" s="83">
        <f>IFERROR(Tabela517[[#This Row],[25. Fat.]]/Tabela517[[#This Row],[24. Fat]],"")</f>
        <v>16.293366813140825</v>
      </c>
      <c r="J113" s="7"/>
      <c r="L113" s="3" t="s">
        <v>90</v>
      </c>
      <c r="M113" s="5">
        <f>SUMIFS(Tabela113[Valor],Tabela113[Empresa],Tabela618[[#This Row],[Empresa]],Tabela113[Mês],$M$20)</f>
        <v>0</v>
      </c>
      <c r="N113" s="5">
        <f>SUMIFS(Tabela18[Valor],Tabela18[Empresa],Tabela618[[#This Row],[Empresa]],Tabela18[Mês],'25. BANCO DE DADOS'!$M$20)</f>
        <v>0</v>
      </c>
      <c r="O113" s="7" t="str">
        <f>IFERROR(Tabela618[[#This Row],[25. Fat.]]/Tabela618[[#This Row],[24. Fat]],"")</f>
        <v/>
      </c>
    </row>
    <row r="114" spans="1:15" ht="15.6" x14ac:dyDescent="0.3">
      <c r="A114" s="45" t="s">
        <v>18</v>
      </c>
      <c r="B114" s="14" t="s">
        <v>103</v>
      </c>
      <c r="C114" s="15">
        <v>13479.4</v>
      </c>
      <c r="D114" s="46">
        <v>9.7339999999999996E-3</v>
      </c>
      <c r="E114" s="36"/>
      <c r="F114" s="77" t="s">
        <v>93</v>
      </c>
      <c r="G114" s="78">
        <v>718.2</v>
      </c>
      <c r="H114" s="78">
        <v>30.35</v>
      </c>
      <c r="I114" s="83">
        <f>IFERROR(Tabela517[[#This Row],[25. Fat.]]/Tabela517[[#This Row],[24. Fat]],"")</f>
        <v>23.663920922570018</v>
      </c>
      <c r="J114" s="7"/>
      <c r="L114" s="3" t="s">
        <v>93</v>
      </c>
      <c r="M114" s="5">
        <f>SUMIFS(Tabela113[Valor],Tabela113[Empresa],Tabela618[[#This Row],[Empresa]],Tabela113[Mês],$M$20)</f>
        <v>0</v>
      </c>
      <c r="N114" s="5">
        <f>SUMIFS(Tabela18[Valor],Tabela18[Empresa],Tabela618[[#This Row],[Empresa]],Tabela18[Mês],'25. BANCO DE DADOS'!$M$20)</f>
        <v>0</v>
      </c>
      <c r="O114" s="7" t="str">
        <f>IFERROR(Tabela618[[#This Row],[25. Fat.]]/Tabela618[[#This Row],[24. Fat]],"")</f>
        <v/>
      </c>
    </row>
    <row r="115" spans="1:15" ht="15.6" x14ac:dyDescent="0.3">
      <c r="A115" s="45" t="s">
        <v>17</v>
      </c>
      <c r="B115" s="14" t="s">
        <v>103</v>
      </c>
      <c r="C115" s="15">
        <v>11323.3</v>
      </c>
      <c r="D115" s="46">
        <v>8.1770000000000002E-3</v>
      </c>
      <c r="E115" s="36"/>
      <c r="F115" s="77" t="s">
        <v>166</v>
      </c>
      <c r="G115" s="78">
        <v>612.44000000000005</v>
      </c>
      <c r="H115" s="78">
        <v>27.94</v>
      </c>
      <c r="I115" s="83">
        <f>IFERROR(Tabela517[[#This Row],[25. Fat.]]/Tabela517[[#This Row],[24. Fat]],"")</f>
        <v>21.91982820329277</v>
      </c>
      <c r="J115" s="7"/>
      <c r="L115" s="3" t="s">
        <v>96</v>
      </c>
      <c r="M115" s="5">
        <f>SUMIFS(Tabela113[Valor],Tabela113[Empresa],Tabela618[[#This Row],[Empresa]],Tabela113[Mês],$M$20)</f>
        <v>0</v>
      </c>
      <c r="N115" s="5">
        <f>SUMIFS(Tabela18[Valor],Tabela18[Empresa],Tabela618[[#This Row],[Empresa]],Tabela18[Mês],'25. BANCO DE DADOS'!$M$20)</f>
        <v>814.98</v>
      </c>
      <c r="O115" s="7">
        <f>IFERROR(Tabela618[[#This Row],[25. Fat.]]/Tabela618[[#This Row],[24. Fat]],"")</f>
        <v>0</v>
      </c>
    </row>
    <row r="116" spans="1:15" ht="15.6" x14ac:dyDescent="0.3">
      <c r="A116" s="45" t="s">
        <v>16</v>
      </c>
      <c r="B116" s="14" t="s">
        <v>103</v>
      </c>
      <c r="C116" s="15">
        <v>10574.48</v>
      </c>
      <c r="D116" s="46">
        <v>7.6359999999999996E-3</v>
      </c>
      <c r="E116" s="36"/>
      <c r="F116" s="77" t="s">
        <v>73</v>
      </c>
      <c r="G116" s="78">
        <v>585.02</v>
      </c>
      <c r="H116" s="78">
        <v>23.92</v>
      </c>
      <c r="I116" s="83">
        <f>IFERROR(Tabela517[[#This Row],[25. Fat.]]/Tabela517[[#This Row],[24. Fat]],"")</f>
        <v>24.457357859531768</v>
      </c>
      <c r="J116" s="7"/>
      <c r="L116" s="3" t="s">
        <v>97</v>
      </c>
      <c r="M116" s="5">
        <f>SUMIFS(Tabela113[Valor],Tabela113[Empresa],Tabela618[[#This Row],[Empresa]],Tabela113[Mês],$M$20)</f>
        <v>0</v>
      </c>
      <c r="N116" s="5">
        <f>SUMIFS(Tabela18[Valor],Tabela18[Empresa],Tabela618[[#This Row],[Empresa]],Tabela18[Mês],'25. BANCO DE DADOS'!$M$20)</f>
        <v>0</v>
      </c>
      <c r="O116" s="7" t="str">
        <f>IFERROR(Tabela618[[#This Row],[25. Fat.]]/Tabela618[[#This Row],[24. Fat]],"")</f>
        <v/>
      </c>
    </row>
    <row r="117" spans="1:15" ht="15.6" x14ac:dyDescent="0.3">
      <c r="A117" s="45" t="s">
        <v>21</v>
      </c>
      <c r="B117" s="14" t="s">
        <v>103</v>
      </c>
      <c r="C117" s="15">
        <v>9289.6</v>
      </c>
      <c r="D117" s="46">
        <v>6.7079999999999996E-3</v>
      </c>
      <c r="E117" s="36"/>
      <c r="F117" s="77" t="s">
        <v>162</v>
      </c>
      <c r="G117" s="78">
        <v>575.1</v>
      </c>
      <c r="H117" s="78">
        <v>18.7</v>
      </c>
      <c r="I117" s="83">
        <f>IFERROR(Tabela517[[#This Row],[25. Fat.]]/Tabela517[[#This Row],[24. Fat]],"")</f>
        <v>30.754010695187169</v>
      </c>
      <c r="J117" s="7"/>
      <c r="L117" s="3" t="s">
        <v>94</v>
      </c>
      <c r="M117" s="5">
        <f>SUMIFS(Tabela113[Valor],Tabela113[Empresa],Tabela618[[#This Row],[Empresa]],Tabela113[Mês],$M$20)</f>
        <v>0</v>
      </c>
      <c r="N117" s="5">
        <f>SUMIFS(Tabela18[Valor],Tabela18[Empresa],Tabela618[[#This Row],[Empresa]],Tabela18[Mês],'25. BANCO DE DADOS'!$M$20)</f>
        <v>0</v>
      </c>
      <c r="O117" s="7" t="str">
        <f>IFERROR(Tabela618[[#This Row],[25. Fat.]]/Tabela618[[#This Row],[24. Fat]],"")</f>
        <v/>
      </c>
    </row>
    <row r="118" spans="1:15" ht="15.6" x14ac:dyDescent="0.3">
      <c r="A118" s="45" t="s">
        <v>23</v>
      </c>
      <c r="B118" s="14" t="s">
        <v>103</v>
      </c>
      <c r="C118" s="15">
        <v>7262.08</v>
      </c>
      <c r="D118" s="46">
        <v>5.2439999999999995E-3</v>
      </c>
      <c r="E118" s="36"/>
      <c r="F118" s="77" t="s">
        <v>133</v>
      </c>
      <c r="G118" s="78">
        <v>533.86</v>
      </c>
      <c r="H118" s="78">
        <v>5.73</v>
      </c>
      <c r="I118" s="83">
        <f>IFERROR(Tabela517[[#This Row],[25. Fat.]]/Tabela517[[#This Row],[24. Fat]],"")</f>
        <v>93.16928446771378</v>
      </c>
      <c r="J118" s="7"/>
      <c r="L118" s="3" t="s">
        <v>100</v>
      </c>
      <c r="M118" s="5">
        <f>SUMIFS(Tabela113[Valor],Tabela113[Empresa],Tabela618[[#This Row],[Empresa]],Tabela113[Mês],$M$20)</f>
        <v>0</v>
      </c>
      <c r="N118" s="5">
        <f>SUMIFS(Tabela18[Valor],Tabela18[Empresa],Tabela618[[#This Row],[Empresa]],Tabela18[Mês],'25. BANCO DE DADOS'!$M$20)</f>
        <v>0</v>
      </c>
      <c r="O118" s="7" t="str">
        <f>IFERROR(Tabela618[[#This Row],[25. Fat.]]/Tabela618[[#This Row],[24. Fat]],"")</f>
        <v/>
      </c>
    </row>
    <row r="119" spans="1:15" ht="15.6" x14ac:dyDescent="0.3">
      <c r="A119" s="45" t="s">
        <v>41</v>
      </c>
      <c r="B119" s="14" t="s">
        <v>103</v>
      </c>
      <c r="C119" s="15">
        <v>5805.03</v>
      </c>
      <c r="D119" s="46">
        <v>4.1920000000000004E-3</v>
      </c>
      <c r="E119" s="36"/>
      <c r="F119" s="77" t="s">
        <v>78</v>
      </c>
      <c r="G119" s="78">
        <v>417.29</v>
      </c>
      <c r="H119" s="84"/>
      <c r="I119" s="83" t="str">
        <f>IFERROR(Tabela517[[#This Row],[25. Fat.]]/Tabela517[[#This Row],[24. Fat]],"")</f>
        <v/>
      </c>
      <c r="J119" s="7"/>
      <c r="L119" s="3" t="s">
        <v>91</v>
      </c>
      <c r="M119" s="5">
        <f>SUMIFS(Tabela113[Valor],Tabela113[Empresa],Tabela618[[#This Row],[Empresa]],Tabela113[Mês],$M$20)</f>
        <v>0</v>
      </c>
      <c r="N119" s="5">
        <f>SUMIFS(Tabela18[Valor],Tabela18[Empresa],Tabela618[[#This Row],[Empresa]],Tabela18[Mês],'25. BANCO DE DADOS'!$M$20)</f>
        <v>0</v>
      </c>
      <c r="O119" s="7" t="str">
        <f>IFERROR(Tabela618[[#This Row],[25. Fat.]]/Tabela618[[#This Row],[24. Fat]],"")</f>
        <v/>
      </c>
    </row>
    <row r="120" spans="1:15" ht="15.6" x14ac:dyDescent="0.3">
      <c r="A120" s="45" t="s">
        <v>30</v>
      </c>
      <c r="B120" s="14" t="s">
        <v>103</v>
      </c>
      <c r="C120" s="15">
        <v>5447.45</v>
      </c>
      <c r="D120" s="46">
        <v>3.934E-3</v>
      </c>
      <c r="E120" s="36"/>
      <c r="F120" s="77" t="s">
        <v>70</v>
      </c>
      <c r="G120" s="78">
        <v>364.98</v>
      </c>
      <c r="H120" s="84"/>
      <c r="I120" s="83" t="str">
        <f>IFERROR(Tabela517[[#This Row],[25. Fat.]]/Tabela517[[#This Row],[24. Fat]],"")</f>
        <v/>
      </c>
      <c r="J120" s="7"/>
      <c r="L120" s="3" t="s">
        <v>98</v>
      </c>
      <c r="M120" s="5">
        <f>SUMIFS(Tabela113[Valor],Tabela113[Empresa],Tabela618[[#This Row],[Empresa]],Tabela113[Mês],$M$20)</f>
        <v>0</v>
      </c>
      <c r="N120" s="5">
        <f>SUMIFS(Tabela18[Valor],Tabela18[Empresa],Tabela618[[#This Row],[Empresa]],Tabela18[Mês],'25. BANCO DE DADOS'!$M$20)</f>
        <v>0</v>
      </c>
      <c r="O120" s="7" t="str">
        <f>IFERROR(Tabela618[[#This Row],[25. Fat.]]/Tabela618[[#This Row],[24. Fat]],"")</f>
        <v/>
      </c>
    </row>
    <row r="121" spans="1:15" ht="15.6" x14ac:dyDescent="0.3">
      <c r="A121" s="45" t="s">
        <v>33</v>
      </c>
      <c r="B121" s="14" t="s">
        <v>103</v>
      </c>
      <c r="C121" s="15">
        <v>4948.54</v>
      </c>
      <c r="D121" s="46">
        <v>3.5730000000000002E-3</v>
      </c>
      <c r="E121" s="36"/>
      <c r="F121" s="77" t="s">
        <v>94</v>
      </c>
      <c r="G121" s="78">
        <v>357.92</v>
      </c>
      <c r="H121" s="84"/>
      <c r="I121" s="83" t="str">
        <f>IFERROR(Tabela517[[#This Row],[25. Fat.]]/Tabela517[[#This Row],[24. Fat]],"")</f>
        <v/>
      </c>
      <c r="J121" s="7"/>
      <c r="L121" s="3" t="s">
        <v>99</v>
      </c>
      <c r="M121" s="5">
        <f>SUMIFS(Tabela113[Valor],Tabela113[Empresa],Tabela618[[#This Row],[Empresa]],Tabela113[Mês],$M$20)</f>
        <v>0</v>
      </c>
      <c r="N121" s="5">
        <f>SUMIFS(Tabela18[Valor],Tabela18[Empresa],Tabela618[[#This Row],[Empresa]],Tabela18[Mês],'25. BANCO DE DADOS'!$M$20)</f>
        <v>0</v>
      </c>
      <c r="O121" s="7" t="str">
        <f>IFERROR(Tabela618[[#This Row],[25. Fat.]]/Tabela618[[#This Row],[24. Fat]],"")</f>
        <v/>
      </c>
    </row>
    <row r="122" spans="1:15" ht="15.6" x14ac:dyDescent="0.3">
      <c r="A122" s="45" t="s">
        <v>31</v>
      </c>
      <c r="B122" s="14" t="s">
        <v>103</v>
      </c>
      <c r="C122" s="15">
        <v>4522.05</v>
      </c>
      <c r="D122" s="46">
        <v>3.2650000000000001E-3</v>
      </c>
      <c r="E122" s="36"/>
      <c r="F122" s="77" t="s">
        <v>82</v>
      </c>
      <c r="G122" s="78">
        <v>268.88</v>
      </c>
      <c r="H122" s="84"/>
      <c r="I122" s="83" t="str">
        <f>IFERROR(Tabela517[[#This Row],[25. Fat.]]/Tabela517[[#This Row],[24. Fat]],"")</f>
        <v/>
      </c>
      <c r="J122" s="7"/>
      <c r="L122" s="3" t="s">
        <v>92</v>
      </c>
      <c r="M122" s="5">
        <f>SUMIFS(Tabela113[Valor],Tabela113[Empresa],Tabela618[[#This Row],[Empresa]],Tabela113[Mês],$M$20)</f>
        <v>0</v>
      </c>
      <c r="N122" s="5">
        <f>SUMIFS(Tabela18[Valor],Tabela18[Empresa],Tabela618[[#This Row],[Empresa]],Tabela18[Mês],'25. BANCO DE DADOS'!$M$20)</f>
        <v>0</v>
      </c>
      <c r="O122" s="7" t="str">
        <f>IFERROR(Tabela618[[#This Row],[25. Fat.]]/Tabela618[[#This Row],[24. Fat]],"")</f>
        <v/>
      </c>
    </row>
    <row r="123" spans="1:15" ht="15.6" x14ac:dyDescent="0.3">
      <c r="A123" s="45" t="s">
        <v>63</v>
      </c>
      <c r="B123" s="14" t="s">
        <v>103</v>
      </c>
      <c r="C123" s="15">
        <v>4288.1400000000003</v>
      </c>
      <c r="D123" s="46">
        <v>3.0969999999999999E-3</v>
      </c>
      <c r="E123" s="36"/>
      <c r="F123" s="77" t="s">
        <v>170</v>
      </c>
      <c r="G123" s="78">
        <v>250.73</v>
      </c>
      <c r="H123" s="85"/>
      <c r="I123" s="83" t="str">
        <f>IFERROR(Tabela517[[#This Row],[25. Fat.]]/Tabela517[[#This Row],[24. Fat]],"")</f>
        <v/>
      </c>
      <c r="J123"/>
    </row>
    <row r="124" spans="1:15" ht="15.6" x14ac:dyDescent="0.3">
      <c r="A124" s="45" t="s">
        <v>25</v>
      </c>
      <c r="B124" s="14" t="s">
        <v>103</v>
      </c>
      <c r="C124" s="15">
        <v>4138.95</v>
      </c>
      <c r="D124" s="46">
        <v>2.9889999999999999E-3</v>
      </c>
      <c r="E124" s="36"/>
      <c r="F124" s="77" t="s">
        <v>97</v>
      </c>
      <c r="G124" s="78">
        <v>226.41</v>
      </c>
      <c r="H124" s="85"/>
      <c r="I124" s="83" t="str">
        <f>IFERROR(Tabela517[[#This Row],[25. Fat.]]/Tabela517[[#This Row],[24. Fat]],"")</f>
        <v/>
      </c>
      <c r="J124"/>
    </row>
    <row r="125" spans="1:15" ht="15.6" x14ac:dyDescent="0.3">
      <c r="A125" s="45" t="s">
        <v>32</v>
      </c>
      <c r="B125" s="14" t="s">
        <v>103</v>
      </c>
      <c r="C125" s="15">
        <v>4129.68</v>
      </c>
      <c r="D125" s="46">
        <v>2.9820000000000003E-3</v>
      </c>
      <c r="E125" s="36"/>
      <c r="F125" s="77" t="s">
        <v>85</v>
      </c>
      <c r="G125" s="78">
        <v>159.30000000000001</v>
      </c>
      <c r="H125" s="85"/>
      <c r="I125" s="83" t="str">
        <f>IFERROR(Tabela517[[#This Row],[25. Fat.]]/Tabela517[[#This Row],[24. Fat]],"")</f>
        <v/>
      </c>
      <c r="J125"/>
    </row>
    <row r="126" spans="1:15" ht="15.6" x14ac:dyDescent="0.3">
      <c r="A126" s="45" t="s">
        <v>38</v>
      </c>
      <c r="B126" s="14" t="s">
        <v>103</v>
      </c>
      <c r="C126" s="15">
        <v>2823.9</v>
      </c>
      <c r="D126" s="46">
        <v>2.039E-3</v>
      </c>
      <c r="E126" s="36"/>
      <c r="F126" s="77" t="s">
        <v>171</v>
      </c>
      <c r="G126" s="78">
        <v>136.30000000000001</v>
      </c>
      <c r="H126" s="85"/>
      <c r="I126" s="83" t="str">
        <f>IFERROR(Tabela517[[#This Row],[25. Fat.]]/Tabela517[[#This Row],[24. Fat]],"")</f>
        <v/>
      </c>
      <c r="J126"/>
    </row>
    <row r="127" spans="1:15" ht="15.6" x14ac:dyDescent="0.3">
      <c r="A127" s="45" t="s">
        <v>29</v>
      </c>
      <c r="B127" s="14" t="s">
        <v>103</v>
      </c>
      <c r="C127" s="15">
        <v>2822.28</v>
      </c>
      <c r="D127" s="46">
        <v>2.0379999999999999E-3</v>
      </c>
      <c r="E127" s="36"/>
      <c r="F127" s="77" t="s">
        <v>135</v>
      </c>
      <c r="G127" s="78">
        <v>72.44</v>
      </c>
      <c r="H127" s="85"/>
      <c r="I127" s="83" t="str">
        <f>IFERROR(Tabela517[[#This Row],[25. Fat.]]/Tabela517[[#This Row],[24. Fat]],"")</f>
        <v/>
      </c>
      <c r="J127"/>
    </row>
    <row r="128" spans="1:15" ht="15.6" x14ac:dyDescent="0.3">
      <c r="A128" s="45" t="s">
        <v>74</v>
      </c>
      <c r="B128" s="14" t="s">
        <v>103</v>
      </c>
      <c r="C128" s="15">
        <v>2704.22</v>
      </c>
      <c r="D128" s="46">
        <v>1.9530000000000001E-3</v>
      </c>
      <c r="E128" s="36"/>
      <c r="F128" s="77" t="s">
        <v>98</v>
      </c>
      <c r="G128" s="78">
        <v>55.32</v>
      </c>
      <c r="H128" s="85"/>
      <c r="I128" s="83" t="str">
        <f>IFERROR(Tabela517[[#This Row],[25. Fat.]]/Tabela517[[#This Row],[24. Fat]],"")</f>
        <v/>
      </c>
      <c r="J128"/>
    </row>
    <row r="129" spans="1:10" ht="15.6" x14ac:dyDescent="0.3">
      <c r="A129" s="45" t="s">
        <v>90</v>
      </c>
      <c r="B129" s="14" t="s">
        <v>103</v>
      </c>
      <c r="C129" s="15">
        <v>2545.71</v>
      </c>
      <c r="D129" s="46">
        <v>1.838E-3</v>
      </c>
      <c r="E129" s="36"/>
      <c r="F129" s="77" t="s">
        <v>132</v>
      </c>
      <c r="G129" s="78">
        <v>37.61</v>
      </c>
      <c r="H129" s="85"/>
      <c r="I129" s="83" t="str">
        <f>IFERROR(Tabela517[[#This Row],[25. Fat.]]/Tabela517[[#This Row],[24. Fat]],"")</f>
        <v/>
      </c>
      <c r="J129"/>
    </row>
    <row r="130" spans="1:10" ht="15.6" x14ac:dyDescent="0.3">
      <c r="A130" s="45" t="s">
        <v>34</v>
      </c>
      <c r="B130" s="14" t="s">
        <v>103</v>
      </c>
      <c r="C130" s="15">
        <v>2527.23</v>
      </c>
      <c r="D130" s="46">
        <v>1.825E-3</v>
      </c>
      <c r="E130" s="36"/>
      <c r="F130" s="77" t="s">
        <v>100</v>
      </c>
      <c r="G130" s="78">
        <v>29.26</v>
      </c>
      <c r="H130" s="85"/>
      <c r="I130" s="83" t="str">
        <f>IFERROR(Tabela517[[#This Row],[25. Fat.]]/Tabela517[[#This Row],[24. Fat]],"")</f>
        <v/>
      </c>
      <c r="J130"/>
    </row>
    <row r="131" spans="1:10" ht="15.6" x14ac:dyDescent="0.3">
      <c r="A131" s="45" t="s">
        <v>39</v>
      </c>
      <c r="B131" s="14" t="s">
        <v>103</v>
      </c>
      <c r="C131" s="15">
        <v>2473.71</v>
      </c>
      <c r="D131" s="46">
        <v>1.786E-3</v>
      </c>
      <c r="E131" s="36"/>
      <c r="F131" s="77" t="s">
        <v>86</v>
      </c>
      <c r="G131" s="78">
        <v>29.24</v>
      </c>
      <c r="H131" s="85"/>
      <c r="I131" s="83" t="str">
        <f>IFERROR(Tabela517[[#This Row],[25. Fat.]]/Tabela517[[#This Row],[24. Fat]],"")</f>
        <v/>
      </c>
      <c r="J131"/>
    </row>
    <row r="132" spans="1:10" ht="15.6" x14ac:dyDescent="0.3">
      <c r="A132" s="45" t="s">
        <v>52</v>
      </c>
      <c r="B132" s="14" t="s">
        <v>103</v>
      </c>
      <c r="C132" s="15">
        <v>2420.2199999999998</v>
      </c>
      <c r="D132" s="46">
        <v>1.7480000000000002E-3</v>
      </c>
      <c r="E132" s="36"/>
      <c r="F132" s="77" t="s">
        <v>99</v>
      </c>
      <c r="G132" s="78">
        <v>16.87</v>
      </c>
      <c r="H132" s="85"/>
      <c r="I132" s="83" t="str">
        <f>IFERROR(Tabela517[[#This Row],[25. Fat.]]/Tabela517[[#This Row],[24. Fat]],"")</f>
        <v/>
      </c>
      <c r="J132"/>
    </row>
    <row r="133" spans="1:10" ht="15.6" x14ac:dyDescent="0.3">
      <c r="A133" s="45" t="s">
        <v>45</v>
      </c>
      <c r="B133" s="14" t="s">
        <v>103</v>
      </c>
      <c r="C133" s="15">
        <v>2286.84</v>
      </c>
      <c r="D133" s="46">
        <v>1.6509999999999999E-3</v>
      </c>
      <c r="E133" s="36"/>
      <c r="F133" s="77" t="s">
        <v>147</v>
      </c>
      <c r="G133" s="78">
        <v>8.99</v>
      </c>
      <c r="H133" s="85"/>
      <c r="I133" s="83" t="str">
        <f>IFERROR(Tabela517[[#This Row],[25. Fat.]]/Tabela517[[#This Row],[24. Fat]],"")</f>
        <v/>
      </c>
      <c r="J133"/>
    </row>
    <row r="134" spans="1:10" ht="15.6" x14ac:dyDescent="0.3">
      <c r="A134" s="45" t="s">
        <v>61</v>
      </c>
      <c r="B134" s="14" t="s">
        <v>103</v>
      </c>
      <c r="C134" s="15">
        <v>1934.67</v>
      </c>
      <c r="D134" s="46">
        <v>1.3969999999999998E-3</v>
      </c>
      <c r="E134" s="36"/>
      <c r="G134" s="33"/>
      <c r="H134"/>
      <c r="I134"/>
      <c r="J134"/>
    </row>
    <row r="135" spans="1:10" ht="15.6" x14ac:dyDescent="0.3">
      <c r="A135" s="45" t="s">
        <v>43</v>
      </c>
      <c r="B135" s="14" t="s">
        <v>103</v>
      </c>
      <c r="C135" s="15">
        <v>1840.74</v>
      </c>
      <c r="D135" s="46">
        <v>1.3289999999999999E-3</v>
      </c>
      <c r="E135" s="36"/>
      <c r="G135" s="33"/>
      <c r="H135"/>
      <c r="I135"/>
      <c r="J135"/>
    </row>
    <row r="136" spans="1:10" ht="15.6" x14ac:dyDescent="0.3">
      <c r="A136" s="45" t="s">
        <v>27</v>
      </c>
      <c r="B136" s="14" t="s">
        <v>103</v>
      </c>
      <c r="C136" s="15">
        <v>1724.93</v>
      </c>
      <c r="D136" s="46">
        <v>1.2459999999999999E-3</v>
      </c>
      <c r="E136" s="36"/>
      <c r="G136" s="33"/>
      <c r="H136"/>
      <c r="I136"/>
      <c r="J136"/>
    </row>
    <row r="137" spans="1:10" ht="15.6" x14ac:dyDescent="0.3">
      <c r="A137" s="45" t="s">
        <v>50</v>
      </c>
      <c r="B137" s="14" t="s">
        <v>103</v>
      </c>
      <c r="C137" s="15">
        <v>1691.6</v>
      </c>
      <c r="D137" s="46">
        <v>1.222E-3</v>
      </c>
      <c r="E137" s="36"/>
      <c r="G137" s="33"/>
      <c r="H137"/>
      <c r="I137"/>
      <c r="J137"/>
    </row>
    <row r="138" spans="1:10" ht="15.6" x14ac:dyDescent="0.3">
      <c r="A138" s="45" t="s">
        <v>40</v>
      </c>
      <c r="B138" s="14" t="s">
        <v>103</v>
      </c>
      <c r="C138" s="15">
        <v>1526.5</v>
      </c>
      <c r="D138" s="46">
        <v>1.1020000000000001E-3</v>
      </c>
      <c r="E138" s="36"/>
      <c r="G138" s="33"/>
      <c r="H138"/>
      <c r="I138"/>
      <c r="J138"/>
    </row>
    <row r="139" spans="1:10" ht="15.6" x14ac:dyDescent="0.3">
      <c r="A139" s="45" t="s">
        <v>35</v>
      </c>
      <c r="B139" s="14" t="s">
        <v>103</v>
      </c>
      <c r="C139" s="15">
        <v>1482.92</v>
      </c>
      <c r="D139" s="46">
        <v>1.0709999999999999E-3</v>
      </c>
      <c r="E139" s="36"/>
      <c r="G139" s="33"/>
      <c r="H139"/>
      <c r="I139"/>
      <c r="J139"/>
    </row>
    <row r="140" spans="1:10" ht="15.6" x14ac:dyDescent="0.3">
      <c r="A140" s="45" t="s">
        <v>47</v>
      </c>
      <c r="B140" s="14" t="s">
        <v>103</v>
      </c>
      <c r="C140" s="15">
        <v>1370.13</v>
      </c>
      <c r="D140" s="46">
        <v>9.8900000000000008E-4</v>
      </c>
      <c r="E140" s="36"/>
      <c r="G140" s="33"/>
      <c r="H140"/>
      <c r="I140"/>
      <c r="J140"/>
    </row>
    <row r="141" spans="1:10" ht="15.6" x14ac:dyDescent="0.3">
      <c r="A141" s="45" t="s">
        <v>48</v>
      </c>
      <c r="B141" s="14" t="s">
        <v>103</v>
      </c>
      <c r="C141" s="15">
        <v>1169.55</v>
      </c>
      <c r="D141" s="46">
        <v>8.4500000000000005E-4</v>
      </c>
      <c r="E141" s="36"/>
      <c r="G141" s="33"/>
      <c r="H141"/>
      <c r="I141"/>
      <c r="J141"/>
    </row>
    <row r="142" spans="1:10" ht="15.6" x14ac:dyDescent="0.3">
      <c r="A142" s="45" t="s">
        <v>59</v>
      </c>
      <c r="B142" s="14" t="s">
        <v>103</v>
      </c>
      <c r="C142" s="15">
        <v>1010.29</v>
      </c>
      <c r="D142" s="46">
        <v>7.2999999999999996E-4</v>
      </c>
      <c r="E142" s="36"/>
      <c r="G142" s="33"/>
      <c r="H142"/>
      <c r="I142"/>
      <c r="J142"/>
    </row>
    <row r="143" spans="1:10" ht="15.6" x14ac:dyDescent="0.3">
      <c r="A143" s="45" t="s">
        <v>37</v>
      </c>
      <c r="B143" s="14" t="s">
        <v>103</v>
      </c>
      <c r="C143" s="15">
        <v>966.08</v>
      </c>
      <c r="D143" s="46">
        <v>6.9800000000000005E-4</v>
      </c>
      <c r="E143" s="36"/>
      <c r="G143" s="33"/>
      <c r="H143"/>
      <c r="I143"/>
      <c r="J143"/>
    </row>
    <row r="144" spans="1:10" ht="15.6" x14ac:dyDescent="0.3">
      <c r="A144" s="45" t="s">
        <v>65</v>
      </c>
      <c r="B144" s="14" t="s">
        <v>103</v>
      </c>
      <c r="C144" s="15">
        <v>880.48</v>
      </c>
      <c r="D144" s="46">
        <v>6.3600000000000006E-4</v>
      </c>
      <c r="E144" s="36"/>
      <c r="G144" s="33"/>
      <c r="H144"/>
      <c r="I144"/>
      <c r="J144"/>
    </row>
    <row r="145" spans="1:10" ht="15.6" x14ac:dyDescent="0.3">
      <c r="A145" s="45" t="s">
        <v>64</v>
      </c>
      <c r="B145" s="14" t="s">
        <v>103</v>
      </c>
      <c r="C145" s="15">
        <v>876.33</v>
      </c>
      <c r="D145" s="46">
        <v>6.3299999999999999E-4</v>
      </c>
      <c r="E145" s="36"/>
      <c r="G145" s="33"/>
      <c r="H145"/>
      <c r="I145"/>
      <c r="J145"/>
    </row>
    <row r="146" spans="1:10" ht="15.6" x14ac:dyDescent="0.3">
      <c r="A146" s="45" t="s">
        <v>54</v>
      </c>
      <c r="B146" s="14" t="s">
        <v>103</v>
      </c>
      <c r="C146" s="15">
        <v>865.71</v>
      </c>
      <c r="D146" s="46">
        <v>6.2500000000000001E-4</v>
      </c>
      <c r="E146" s="36"/>
      <c r="G146" s="33"/>
      <c r="H146"/>
      <c r="I146"/>
      <c r="J146"/>
    </row>
    <row r="147" spans="1:10" ht="15.6" x14ac:dyDescent="0.3">
      <c r="A147" s="45" t="s">
        <v>57</v>
      </c>
      <c r="B147" s="14" t="s">
        <v>103</v>
      </c>
      <c r="C147" s="15">
        <v>850.5</v>
      </c>
      <c r="D147" s="46">
        <v>6.1400000000000007E-4</v>
      </c>
      <c r="E147" s="36"/>
      <c r="G147" s="33"/>
      <c r="H147"/>
      <c r="I147"/>
      <c r="J147"/>
    </row>
    <row r="148" spans="1:10" ht="15.6" x14ac:dyDescent="0.3">
      <c r="A148" s="45" t="s">
        <v>51</v>
      </c>
      <c r="B148" s="14" t="s">
        <v>103</v>
      </c>
      <c r="C148" s="15">
        <v>643.86</v>
      </c>
      <c r="D148" s="46">
        <v>4.6499999999999997E-4</v>
      </c>
      <c r="E148" s="36"/>
      <c r="G148" s="33"/>
      <c r="H148"/>
      <c r="I148"/>
      <c r="J148"/>
    </row>
    <row r="149" spans="1:10" ht="15.6" x14ac:dyDescent="0.3">
      <c r="A149" s="45" t="s">
        <v>42</v>
      </c>
      <c r="B149" s="14" t="s">
        <v>103</v>
      </c>
      <c r="C149" s="15">
        <v>629.35</v>
      </c>
      <c r="D149" s="46">
        <v>4.5400000000000003E-4</v>
      </c>
      <c r="E149" s="36"/>
      <c r="G149" s="33"/>
      <c r="H149"/>
      <c r="I149"/>
      <c r="J149"/>
    </row>
    <row r="150" spans="1:10" ht="15.6" x14ac:dyDescent="0.3">
      <c r="A150" s="45" t="s">
        <v>55</v>
      </c>
      <c r="B150" s="14" t="s">
        <v>103</v>
      </c>
      <c r="C150" s="15">
        <v>429.09</v>
      </c>
      <c r="D150" s="46">
        <v>3.1E-4</v>
      </c>
      <c r="E150" s="36"/>
      <c r="G150" s="33"/>
      <c r="H150"/>
      <c r="I150"/>
      <c r="J150"/>
    </row>
    <row r="151" spans="1:10" ht="15.6" x14ac:dyDescent="0.3">
      <c r="A151" s="45" t="s">
        <v>60</v>
      </c>
      <c r="B151" s="14" t="s">
        <v>103</v>
      </c>
      <c r="C151" s="15">
        <v>400.58</v>
      </c>
      <c r="D151" s="46">
        <v>2.8899999999999998E-4</v>
      </c>
      <c r="E151" s="36"/>
      <c r="G151" s="33"/>
      <c r="H151"/>
      <c r="I151"/>
      <c r="J151"/>
    </row>
    <row r="152" spans="1:10" ht="15.6" x14ac:dyDescent="0.3">
      <c r="A152" s="45" t="s">
        <v>44</v>
      </c>
      <c r="B152" s="14" t="s">
        <v>103</v>
      </c>
      <c r="C152" s="15">
        <v>383.25</v>
      </c>
      <c r="D152" s="46">
        <v>2.7700000000000001E-4</v>
      </c>
      <c r="E152" s="36"/>
      <c r="G152" s="33"/>
      <c r="H152"/>
      <c r="I152"/>
      <c r="J152"/>
    </row>
    <row r="153" spans="1:10" ht="15.6" x14ac:dyDescent="0.3">
      <c r="A153" s="45" t="s">
        <v>22</v>
      </c>
      <c r="B153" s="14" t="s">
        <v>103</v>
      </c>
      <c r="C153" s="15">
        <v>375.72</v>
      </c>
      <c r="D153" s="46">
        <v>2.7099999999999997E-4</v>
      </c>
      <c r="E153" s="36"/>
      <c r="G153" s="33"/>
      <c r="H153"/>
      <c r="I153"/>
      <c r="J153"/>
    </row>
    <row r="154" spans="1:10" ht="15.6" x14ac:dyDescent="0.3">
      <c r="A154" s="45" t="s">
        <v>62</v>
      </c>
      <c r="B154" s="14" t="s">
        <v>103</v>
      </c>
      <c r="C154" s="15">
        <v>301.3</v>
      </c>
      <c r="D154" s="46">
        <v>2.1799999999999999E-4</v>
      </c>
      <c r="E154" s="36"/>
      <c r="G154" s="33"/>
      <c r="H154"/>
      <c r="I154"/>
      <c r="J154"/>
    </row>
    <row r="155" spans="1:10" ht="15.6" x14ac:dyDescent="0.3">
      <c r="A155" s="45" t="s">
        <v>53</v>
      </c>
      <c r="B155" s="14" t="s">
        <v>103</v>
      </c>
      <c r="C155" s="15">
        <v>287</v>
      </c>
      <c r="D155" s="46">
        <v>2.0699999999999999E-4</v>
      </c>
      <c r="E155" s="36"/>
      <c r="G155" s="33"/>
      <c r="H155"/>
      <c r="I155"/>
      <c r="J155"/>
    </row>
    <row r="156" spans="1:10" ht="15.6" x14ac:dyDescent="0.3">
      <c r="A156" s="45" t="s">
        <v>81</v>
      </c>
      <c r="B156" s="14" t="s">
        <v>103</v>
      </c>
      <c r="C156" s="15">
        <v>249</v>
      </c>
      <c r="D156" s="46">
        <v>1.7999999999999998E-4</v>
      </c>
      <c r="E156" s="36"/>
      <c r="G156" s="33"/>
      <c r="H156"/>
      <c r="I156"/>
      <c r="J156"/>
    </row>
    <row r="157" spans="1:10" ht="15.6" x14ac:dyDescent="0.3">
      <c r="A157" s="45" t="s">
        <v>72</v>
      </c>
      <c r="B157" s="14" t="s">
        <v>103</v>
      </c>
      <c r="C157" s="15">
        <v>233.87</v>
      </c>
      <c r="D157" s="46">
        <v>1.6899999999999999E-4</v>
      </c>
      <c r="E157" s="36"/>
      <c r="G157" s="33"/>
      <c r="H157"/>
      <c r="I157"/>
      <c r="J157"/>
    </row>
    <row r="158" spans="1:10" ht="15.6" x14ac:dyDescent="0.3">
      <c r="A158" s="45" t="s">
        <v>46</v>
      </c>
      <c r="B158" s="14" t="s">
        <v>103</v>
      </c>
      <c r="C158" s="15">
        <v>200.46</v>
      </c>
      <c r="D158" s="46">
        <v>1.45E-4</v>
      </c>
      <c r="E158" s="36"/>
      <c r="G158" s="33"/>
      <c r="H158"/>
      <c r="I158"/>
      <c r="J158"/>
    </row>
    <row r="159" spans="1:10" ht="15.6" x14ac:dyDescent="0.3">
      <c r="A159" s="45" t="s">
        <v>49</v>
      </c>
      <c r="B159" s="14" t="s">
        <v>103</v>
      </c>
      <c r="C159" s="15">
        <v>200.4</v>
      </c>
      <c r="D159" s="46">
        <v>1.45E-4</v>
      </c>
      <c r="E159" s="36"/>
      <c r="G159" s="33"/>
      <c r="H159"/>
      <c r="I159"/>
      <c r="J159"/>
    </row>
    <row r="160" spans="1:10" ht="15.6" x14ac:dyDescent="0.3">
      <c r="A160" s="45" t="s">
        <v>58</v>
      </c>
      <c r="B160" s="14" t="s">
        <v>103</v>
      </c>
      <c r="C160" s="15">
        <v>200.38</v>
      </c>
      <c r="D160" s="46">
        <v>1.45E-4</v>
      </c>
      <c r="E160" s="36"/>
      <c r="G160" s="33"/>
      <c r="H160"/>
      <c r="I160"/>
      <c r="J160"/>
    </row>
    <row r="161" spans="1:10" ht="15.6" x14ac:dyDescent="0.3">
      <c r="A161" s="45" t="s">
        <v>76</v>
      </c>
      <c r="B161" s="14" t="s">
        <v>103</v>
      </c>
      <c r="C161" s="15">
        <v>196.82</v>
      </c>
      <c r="D161" s="46">
        <v>1.4200000000000001E-4</v>
      </c>
      <c r="E161" s="36"/>
      <c r="G161" s="33"/>
      <c r="H161"/>
      <c r="I161"/>
      <c r="J161"/>
    </row>
    <row r="162" spans="1:10" ht="15.6" x14ac:dyDescent="0.3">
      <c r="A162" s="45" t="s">
        <v>68</v>
      </c>
      <c r="B162" s="14" t="s">
        <v>103</v>
      </c>
      <c r="C162" s="15">
        <v>179.5</v>
      </c>
      <c r="D162" s="46">
        <v>1.2999999999999999E-4</v>
      </c>
      <c r="E162" s="36"/>
      <c r="G162" s="33"/>
      <c r="H162"/>
      <c r="I162"/>
      <c r="J162"/>
    </row>
    <row r="163" spans="1:10" ht="15.6" x14ac:dyDescent="0.3">
      <c r="A163" s="45" t="s">
        <v>77</v>
      </c>
      <c r="B163" s="14" t="s">
        <v>103</v>
      </c>
      <c r="C163" s="15">
        <v>165.25</v>
      </c>
      <c r="D163" s="46">
        <v>1.1900000000000001E-4</v>
      </c>
      <c r="E163" s="36"/>
      <c r="G163" s="33"/>
      <c r="H163"/>
      <c r="I163"/>
      <c r="J163"/>
    </row>
    <row r="164" spans="1:10" ht="15.6" x14ac:dyDescent="0.3">
      <c r="A164" s="45" t="s">
        <v>91</v>
      </c>
      <c r="B164" s="14" t="s">
        <v>103</v>
      </c>
      <c r="C164" s="15">
        <v>163.41999999999999</v>
      </c>
      <c r="D164" s="46">
        <v>1.18E-4</v>
      </c>
      <c r="E164" s="36"/>
      <c r="G164" s="33"/>
      <c r="H164"/>
      <c r="I164"/>
      <c r="J164"/>
    </row>
    <row r="165" spans="1:10" ht="15.6" x14ac:dyDescent="0.3">
      <c r="A165" s="45" t="s">
        <v>66</v>
      </c>
      <c r="B165" s="14" t="s">
        <v>103</v>
      </c>
      <c r="C165" s="15">
        <v>161.94</v>
      </c>
      <c r="D165" s="46">
        <v>1.17E-4</v>
      </c>
      <c r="E165" s="36"/>
      <c r="G165" s="33"/>
      <c r="H165"/>
      <c r="I165"/>
      <c r="J165"/>
    </row>
    <row r="166" spans="1:10" ht="15.6" x14ac:dyDescent="0.3">
      <c r="A166" s="45" t="s">
        <v>92</v>
      </c>
      <c r="B166" s="14" t="s">
        <v>103</v>
      </c>
      <c r="C166" s="15">
        <v>154.97</v>
      </c>
      <c r="D166" s="46">
        <v>1.12E-4</v>
      </c>
      <c r="E166" s="36"/>
      <c r="G166" s="33"/>
      <c r="H166"/>
      <c r="I166"/>
      <c r="J166"/>
    </row>
    <row r="167" spans="1:10" ht="15.6" x14ac:dyDescent="0.3">
      <c r="A167" s="45" t="s">
        <v>71</v>
      </c>
      <c r="B167" s="14" t="s">
        <v>103</v>
      </c>
      <c r="C167" s="15">
        <v>120.69</v>
      </c>
      <c r="D167" s="46">
        <v>8.7000000000000001E-5</v>
      </c>
      <c r="E167" s="36"/>
      <c r="G167" s="33"/>
      <c r="H167"/>
      <c r="I167"/>
      <c r="J167"/>
    </row>
    <row r="168" spans="1:10" ht="15.6" x14ac:dyDescent="0.3">
      <c r="A168" s="45" t="s">
        <v>88</v>
      </c>
      <c r="B168" s="14" t="s">
        <v>103</v>
      </c>
      <c r="C168" s="15">
        <v>115.52</v>
      </c>
      <c r="D168" s="46">
        <v>8.2999999999999998E-5</v>
      </c>
      <c r="E168" s="36"/>
      <c r="G168" s="33"/>
      <c r="H168"/>
      <c r="I168"/>
      <c r="J168"/>
    </row>
    <row r="169" spans="1:10" ht="15.6" x14ac:dyDescent="0.3">
      <c r="A169" s="45" t="s">
        <v>83</v>
      </c>
      <c r="B169" s="14" t="s">
        <v>103</v>
      </c>
      <c r="C169" s="15">
        <v>91.24</v>
      </c>
      <c r="D169" s="46">
        <v>6.6000000000000005E-5</v>
      </c>
      <c r="E169" s="36"/>
      <c r="G169" s="33"/>
      <c r="H169"/>
      <c r="I169"/>
      <c r="J169"/>
    </row>
    <row r="170" spans="1:10" ht="15.6" x14ac:dyDescent="0.3">
      <c r="A170" s="45" t="s">
        <v>78</v>
      </c>
      <c r="B170" s="14" t="s">
        <v>103</v>
      </c>
      <c r="C170" s="15">
        <v>90.15</v>
      </c>
      <c r="D170" s="46">
        <v>6.4999999999999994E-5</v>
      </c>
      <c r="E170" s="36"/>
      <c r="G170" s="33"/>
      <c r="H170"/>
      <c r="I170"/>
      <c r="J170"/>
    </row>
    <row r="171" spans="1:10" ht="15.6" x14ac:dyDescent="0.3">
      <c r="A171" s="45" t="s">
        <v>70</v>
      </c>
      <c r="B171" s="14" t="s">
        <v>103</v>
      </c>
      <c r="C171" s="15">
        <v>88.56</v>
      </c>
      <c r="D171" s="46">
        <v>6.3999999999999997E-5</v>
      </c>
      <c r="E171" s="36"/>
      <c r="G171" s="33"/>
      <c r="H171"/>
      <c r="I171"/>
      <c r="J171"/>
    </row>
    <row r="172" spans="1:10" ht="15.6" x14ac:dyDescent="0.3">
      <c r="A172" s="45" t="s">
        <v>56</v>
      </c>
      <c r="B172" s="14" t="s">
        <v>103</v>
      </c>
      <c r="C172" s="15">
        <v>79.400000000000006</v>
      </c>
      <c r="D172" s="46">
        <v>5.7000000000000003E-5</v>
      </c>
      <c r="E172" s="36"/>
      <c r="G172" s="33"/>
      <c r="H172"/>
      <c r="I172"/>
      <c r="J172"/>
    </row>
    <row r="173" spans="1:10" ht="15.6" x14ac:dyDescent="0.3">
      <c r="A173" s="45" t="s">
        <v>37</v>
      </c>
      <c r="B173" s="14" t="s">
        <v>103</v>
      </c>
      <c r="C173" s="15">
        <v>79.22</v>
      </c>
      <c r="D173" s="46">
        <v>5.7000000000000003E-5</v>
      </c>
      <c r="E173" s="36"/>
      <c r="G173" s="33"/>
      <c r="H173"/>
      <c r="I173"/>
      <c r="J173"/>
    </row>
    <row r="174" spans="1:10" ht="15.6" x14ac:dyDescent="0.3">
      <c r="A174" s="45" t="s">
        <v>73</v>
      </c>
      <c r="B174" s="14" t="s">
        <v>103</v>
      </c>
      <c r="C174" s="15">
        <v>60.81</v>
      </c>
      <c r="D174" s="46">
        <v>4.4000000000000006E-5</v>
      </c>
      <c r="E174" s="36"/>
      <c r="G174" s="33"/>
      <c r="H174"/>
      <c r="I174"/>
      <c r="J174"/>
    </row>
    <row r="175" spans="1:10" ht="15.6" x14ac:dyDescent="0.3">
      <c r="A175" s="45" t="s">
        <v>75</v>
      </c>
      <c r="B175" s="14" t="s">
        <v>103</v>
      </c>
      <c r="C175" s="15">
        <v>57.06</v>
      </c>
      <c r="D175" s="46">
        <v>4.1E-5</v>
      </c>
      <c r="E175" s="36"/>
      <c r="G175" s="33"/>
      <c r="H175"/>
      <c r="I175"/>
      <c r="J175"/>
    </row>
    <row r="176" spans="1:10" ht="15.6" x14ac:dyDescent="0.3">
      <c r="A176" s="45" t="s">
        <v>93</v>
      </c>
      <c r="B176" s="14" t="s">
        <v>103</v>
      </c>
      <c r="C176" s="15">
        <v>39.9</v>
      </c>
      <c r="D176" s="46">
        <v>2.8999999999999997E-5</v>
      </c>
      <c r="E176" s="36"/>
      <c r="G176" s="33"/>
      <c r="H176"/>
      <c r="I176"/>
      <c r="J176"/>
    </row>
    <row r="177" spans="1:10" ht="15.6" x14ac:dyDescent="0.3">
      <c r="A177" s="45" t="s">
        <v>67</v>
      </c>
      <c r="B177" s="14" t="s">
        <v>103</v>
      </c>
      <c r="C177" s="15">
        <v>39.869999999999997</v>
      </c>
      <c r="D177" s="46">
        <v>2.8999999999999997E-5</v>
      </c>
      <c r="E177" s="36"/>
      <c r="G177" s="33"/>
      <c r="H177"/>
      <c r="I177"/>
      <c r="J177"/>
    </row>
    <row r="178" spans="1:10" ht="15.6" x14ac:dyDescent="0.3">
      <c r="A178" s="45" t="s">
        <v>94</v>
      </c>
      <c r="B178" s="14" t="s">
        <v>103</v>
      </c>
      <c r="C178" s="15">
        <v>24.69</v>
      </c>
      <c r="D178" s="46">
        <v>1.8E-5</v>
      </c>
      <c r="E178" s="36"/>
      <c r="G178" s="33"/>
      <c r="H178"/>
      <c r="I178"/>
      <c r="J178"/>
    </row>
    <row r="179" spans="1:10" ht="15.6" x14ac:dyDescent="0.3">
      <c r="A179" s="45" t="s">
        <v>82</v>
      </c>
      <c r="B179" s="14" t="s">
        <v>103</v>
      </c>
      <c r="C179" s="15">
        <v>13.43</v>
      </c>
      <c r="D179" s="46">
        <v>1.0000000000000001E-5</v>
      </c>
      <c r="E179" s="36"/>
      <c r="G179" s="33"/>
      <c r="H179"/>
      <c r="I179"/>
      <c r="J179"/>
    </row>
    <row r="180" spans="1:10" ht="15.6" x14ac:dyDescent="0.3">
      <c r="A180" s="45" t="s">
        <v>85</v>
      </c>
      <c r="B180" s="14" t="s">
        <v>103</v>
      </c>
      <c r="C180" s="15">
        <v>10.95</v>
      </c>
      <c r="D180" s="46">
        <v>7.9999999999999996E-6</v>
      </c>
      <c r="E180" s="36"/>
      <c r="G180" s="33"/>
      <c r="H180"/>
      <c r="I180"/>
      <c r="J180"/>
    </row>
    <row r="181" spans="1:10" ht="15.6" x14ac:dyDescent="0.3">
      <c r="A181" s="45" t="s">
        <v>1</v>
      </c>
      <c r="B181" s="14" t="s">
        <v>104</v>
      </c>
      <c r="C181" s="15">
        <v>231429.17</v>
      </c>
      <c r="D181" s="46">
        <v>0.13894100000000001</v>
      </c>
      <c r="E181" s="36"/>
      <c r="G181" s="33"/>
      <c r="H181"/>
      <c r="I181"/>
      <c r="J181"/>
    </row>
    <row r="182" spans="1:10" ht="15.6" x14ac:dyDescent="0.3">
      <c r="A182" s="45" t="s">
        <v>0</v>
      </c>
      <c r="B182" s="14" t="s">
        <v>104</v>
      </c>
      <c r="C182" s="15">
        <v>197308.25</v>
      </c>
      <c r="D182" s="46">
        <v>0.11845599999999999</v>
      </c>
      <c r="E182" s="36"/>
      <c r="G182" s="33"/>
      <c r="H182"/>
      <c r="I182"/>
      <c r="J182"/>
    </row>
    <row r="183" spans="1:10" ht="15.6" x14ac:dyDescent="0.3">
      <c r="A183" s="45" t="s">
        <v>2</v>
      </c>
      <c r="B183" s="14" t="s">
        <v>104</v>
      </c>
      <c r="C183" s="15">
        <v>164014.56</v>
      </c>
      <c r="D183" s="46">
        <v>9.8468E-2</v>
      </c>
      <c r="E183" s="36"/>
      <c r="G183" s="33"/>
      <c r="H183"/>
      <c r="I183"/>
      <c r="J183"/>
    </row>
    <row r="184" spans="1:10" ht="15.6" x14ac:dyDescent="0.3">
      <c r="A184" s="45" t="s">
        <v>4</v>
      </c>
      <c r="B184" s="14" t="s">
        <v>104</v>
      </c>
      <c r="C184" s="15">
        <v>95954.83</v>
      </c>
      <c r="D184" s="46">
        <v>5.7606999999999998E-2</v>
      </c>
      <c r="E184" s="36"/>
      <c r="G184" s="33"/>
      <c r="H184"/>
      <c r="I184"/>
      <c r="J184"/>
    </row>
    <row r="185" spans="1:10" ht="15.6" x14ac:dyDescent="0.3">
      <c r="A185" s="45" t="s">
        <v>20</v>
      </c>
      <c r="B185" s="14" t="s">
        <v>104</v>
      </c>
      <c r="C185" s="15">
        <v>93355</v>
      </c>
      <c r="D185" s="46">
        <v>5.6047E-2</v>
      </c>
      <c r="E185" s="36"/>
      <c r="G185" s="33"/>
      <c r="H185"/>
      <c r="I185"/>
      <c r="J185"/>
    </row>
    <row r="186" spans="1:10" ht="15.6" x14ac:dyDescent="0.3">
      <c r="A186" s="45" t="s">
        <v>3</v>
      </c>
      <c r="B186" s="14" t="s">
        <v>104</v>
      </c>
      <c r="C186" s="15">
        <v>92583.65</v>
      </c>
      <c r="D186" s="46">
        <v>5.5583E-2</v>
      </c>
      <c r="E186" s="36"/>
      <c r="G186" s="33"/>
      <c r="H186"/>
      <c r="I186"/>
      <c r="J186"/>
    </row>
    <row r="187" spans="1:10" ht="15.6" x14ac:dyDescent="0.3">
      <c r="A187" s="45" t="s">
        <v>8</v>
      </c>
      <c r="B187" s="14" t="s">
        <v>104</v>
      </c>
      <c r="C187" s="15">
        <v>76009.02</v>
      </c>
      <c r="D187" s="46">
        <v>4.5633E-2</v>
      </c>
      <c r="E187" s="36"/>
      <c r="G187" s="33"/>
      <c r="H187"/>
      <c r="I187"/>
      <c r="J187"/>
    </row>
    <row r="188" spans="1:10" ht="15.6" x14ac:dyDescent="0.3">
      <c r="A188" s="45" t="s">
        <v>12</v>
      </c>
      <c r="B188" s="14" t="s">
        <v>104</v>
      </c>
      <c r="C188" s="15">
        <v>64249.43</v>
      </c>
      <c r="D188" s="46">
        <v>3.8572999999999996E-2</v>
      </c>
      <c r="E188" s="36"/>
      <c r="G188" s="33"/>
      <c r="H188"/>
      <c r="I188"/>
      <c r="J188"/>
    </row>
    <row r="189" spans="1:10" ht="15.6" x14ac:dyDescent="0.3">
      <c r="A189" s="45" t="s">
        <v>5</v>
      </c>
      <c r="B189" s="14" t="s">
        <v>104</v>
      </c>
      <c r="C189" s="15">
        <v>59732.35</v>
      </c>
      <c r="D189" s="46">
        <v>3.5861000000000004E-2</v>
      </c>
      <c r="E189" s="36"/>
      <c r="G189" s="33"/>
      <c r="H189"/>
      <c r="I189"/>
      <c r="J189"/>
    </row>
    <row r="190" spans="1:10" ht="15.6" x14ac:dyDescent="0.3">
      <c r="A190" s="45" t="s">
        <v>14</v>
      </c>
      <c r="B190" s="14" t="s">
        <v>104</v>
      </c>
      <c r="C190" s="15">
        <v>54729.88</v>
      </c>
      <c r="D190" s="46">
        <v>3.2857999999999998E-2</v>
      </c>
      <c r="E190" s="36"/>
      <c r="G190" s="33"/>
      <c r="H190"/>
      <c r="I190"/>
      <c r="J190"/>
    </row>
    <row r="191" spans="1:10" ht="15.6" x14ac:dyDescent="0.3">
      <c r="A191" s="45" t="s">
        <v>10</v>
      </c>
      <c r="B191" s="14" t="s">
        <v>104</v>
      </c>
      <c r="C191" s="15">
        <v>51626.58</v>
      </c>
      <c r="D191" s="46">
        <v>3.0994000000000001E-2</v>
      </c>
      <c r="E191" s="36"/>
      <c r="G191" s="33"/>
      <c r="H191"/>
      <c r="I191"/>
      <c r="J191"/>
    </row>
    <row r="192" spans="1:10" ht="15.6" x14ac:dyDescent="0.3">
      <c r="A192" s="45" t="s">
        <v>6</v>
      </c>
      <c r="B192" s="14" t="s">
        <v>104</v>
      </c>
      <c r="C192" s="15">
        <v>49518.66</v>
      </c>
      <c r="D192" s="46">
        <v>2.9729000000000002E-2</v>
      </c>
      <c r="E192" s="36"/>
      <c r="G192" s="33"/>
      <c r="H192"/>
      <c r="I192"/>
      <c r="J192"/>
    </row>
    <row r="193" spans="1:10" ht="15.6" x14ac:dyDescent="0.3">
      <c r="A193" s="45" t="s">
        <v>17</v>
      </c>
      <c r="B193" s="14" t="s">
        <v>104</v>
      </c>
      <c r="C193" s="15">
        <v>41116.44</v>
      </c>
      <c r="D193" s="46">
        <v>2.4685000000000002E-2</v>
      </c>
      <c r="E193" s="36"/>
      <c r="G193" s="33"/>
      <c r="H193"/>
      <c r="I193"/>
      <c r="J193"/>
    </row>
    <row r="194" spans="1:10" ht="15.6" x14ac:dyDescent="0.3">
      <c r="A194" s="45" t="s">
        <v>9</v>
      </c>
      <c r="B194" s="14" t="s">
        <v>104</v>
      </c>
      <c r="C194" s="15">
        <v>41095.29</v>
      </c>
      <c r="D194" s="46">
        <v>2.4671999999999999E-2</v>
      </c>
      <c r="E194" s="36"/>
      <c r="G194" s="33"/>
      <c r="H194"/>
      <c r="I194"/>
      <c r="J194"/>
    </row>
    <row r="195" spans="1:10" ht="15.6" x14ac:dyDescent="0.3">
      <c r="A195" s="45" t="s">
        <v>11</v>
      </c>
      <c r="B195" s="14" t="s">
        <v>104</v>
      </c>
      <c r="C195" s="15">
        <v>39754.92</v>
      </c>
      <c r="D195" s="46">
        <v>2.3866999999999999E-2</v>
      </c>
      <c r="E195" s="36"/>
      <c r="G195" s="33"/>
      <c r="H195"/>
      <c r="I195"/>
      <c r="J195"/>
    </row>
    <row r="196" spans="1:10" ht="15.6" x14ac:dyDescent="0.3">
      <c r="A196" s="45" t="s">
        <v>18</v>
      </c>
      <c r="B196" s="14" t="s">
        <v>104</v>
      </c>
      <c r="C196" s="15">
        <v>33080.47</v>
      </c>
      <c r="D196" s="46">
        <v>1.9859999999999999E-2</v>
      </c>
      <c r="E196" s="36"/>
      <c r="G196" s="33"/>
      <c r="H196"/>
      <c r="I196"/>
      <c r="J196"/>
    </row>
    <row r="197" spans="1:10" ht="15.6" x14ac:dyDescent="0.3">
      <c r="A197" s="45" t="s">
        <v>13</v>
      </c>
      <c r="B197" s="14" t="s">
        <v>104</v>
      </c>
      <c r="C197" s="15">
        <v>32945.15</v>
      </c>
      <c r="D197" s="46">
        <v>1.9779000000000001E-2</v>
      </c>
      <c r="E197" s="36"/>
      <c r="G197" s="33"/>
      <c r="H197"/>
      <c r="I197"/>
      <c r="J197"/>
    </row>
    <row r="198" spans="1:10" ht="15.6" x14ac:dyDescent="0.3">
      <c r="A198" s="45" t="s">
        <v>7</v>
      </c>
      <c r="B198" s="14" t="s">
        <v>104</v>
      </c>
      <c r="C198" s="15">
        <v>31422.07</v>
      </c>
      <c r="D198" s="46">
        <v>1.8865E-2</v>
      </c>
      <c r="E198" s="36"/>
      <c r="G198" s="33"/>
      <c r="H198"/>
      <c r="I198"/>
      <c r="J198"/>
    </row>
    <row r="199" spans="1:10" ht="15.6" x14ac:dyDescent="0.3">
      <c r="A199" s="45" t="s">
        <v>26</v>
      </c>
      <c r="B199" s="14" t="s">
        <v>104</v>
      </c>
      <c r="C199" s="15">
        <v>22317.73</v>
      </c>
      <c r="D199" s="46">
        <v>1.3399000000000001E-2</v>
      </c>
      <c r="E199" s="36"/>
      <c r="G199" s="33"/>
      <c r="H199"/>
      <c r="I199"/>
      <c r="J199"/>
    </row>
    <row r="200" spans="1:10" ht="15.6" x14ac:dyDescent="0.3">
      <c r="A200" s="45" t="s">
        <v>16</v>
      </c>
      <c r="B200" s="14" t="s">
        <v>104</v>
      </c>
      <c r="C200" s="15">
        <v>21783.09</v>
      </c>
      <c r="D200" s="46">
        <v>1.3078000000000001E-2</v>
      </c>
      <c r="E200" s="36"/>
      <c r="G200" s="33"/>
      <c r="H200"/>
      <c r="I200"/>
      <c r="J200"/>
    </row>
    <row r="201" spans="1:10" ht="15.6" x14ac:dyDescent="0.3">
      <c r="A201" s="45" t="s">
        <v>24</v>
      </c>
      <c r="B201" s="14" t="s">
        <v>104</v>
      </c>
      <c r="C201" s="15">
        <v>19742.88</v>
      </c>
      <c r="D201" s="46">
        <v>1.1853000000000001E-2</v>
      </c>
      <c r="E201" s="36"/>
      <c r="G201" s="33"/>
      <c r="H201"/>
      <c r="I201"/>
      <c r="J201"/>
    </row>
    <row r="202" spans="1:10" ht="15.6" x14ac:dyDescent="0.3">
      <c r="A202" s="45" t="s">
        <v>19</v>
      </c>
      <c r="B202" s="14" t="s">
        <v>104</v>
      </c>
      <c r="C202" s="15">
        <v>18797.830000000002</v>
      </c>
      <c r="D202" s="46">
        <v>1.1285E-2</v>
      </c>
      <c r="E202" s="36"/>
      <c r="G202" s="33"/>
      <c r="H202"/>
      <c r="I202"/>
      <c r="J202"/>
    </row>
    <row r="203" spans="1:10" ht="15.6" x14ac:dyDescent="0.3">
      <c r="A203" s="45" t="s">
        <v>15</v>
      </c>
      <c r="B203" s="14" t="s">
        <v>104</v>
      </c>
      <c r="C203" s="15">
        <v>15043.9</v>
      </c>
      <c r="D203" s="46">
        <v>9.0320000000000001E-3</v>
      </c>
      <c r="E203" s="36"/>
      <c r="G203" s="33"/>
      <c r="H203"/>
      <c r="I203"/>
      <c r="J203"/>
    </row>
    <row r="204" spans="1:10" ht="15.6" x14ac:dyDescent="0.3">
      <c r="A204" s="45" t="s">
        <v>29</v>
      </c>
      <c r="B204" s="14" t="s">
        <v>104</v>
      </c>
      <c r="C204" s="15">
        <v>11361.09</v>
      </c>
      <c r="D204" s="46">
        <v>6.8210000000000007E-3</v>
      </c>
      <c r="E204" s="36"/>
      <c r="G204" s="33"/>
      <c r="H204"/>
      <c r="I204"/>
      <c r="J204"/>
    </row>
    <row r="205" spans="1:10" ht="15.6" x14ac:dyDescent="0.3">
      <c r="A205" s="45" t="s">
        <v>95</v>
      </c>
      <c r="B205" s="14" t="s">
        <v>104</v>
      </c>
      <c r="C205" s="15">
        <v>9403.7999999999993</v>
      </c>
      <c r="D205" s="46">
        <v>5.646E-3</v>
      </c>
      <c r="E205" s="36"/>
      <c r="G205" s="33"/>
      <c r="H205"/>
      <c r="I205"/>
      <c r="J205"/>
    </row>
    <row r="206" spans="1:10" ht="15.6" x14ac:dyDescent="0.3">
      <c r="A206" s="45" t="s">
        <v>21</v>
      </c>
      <c r="B206" s="14" t="s">
        <v>104</v>
      </c>
      <c r="C206" s="15">
        <v>8032.64</v>
      </c>
      <c r="D206" s="46">
        <v>4.8219999999999999E-3</v>
      </c>
      <c r="E206" s="36"/>
      <c r="G206" s="33"/>
      <c r="H206"/>
      <c r="I206"/>
      <c r="J206"/>
    </row>
    <row r="207" spans="1:10" ht="15.6" x14ac:dyDescent="0.3">
      <c r="A207" s="45" t="s">
        <v>40</v>
      </c>
      <c r="B207" s="14" t="s">
        <v>104</v>
      </c>
      <c r="C207" s="15">
        <v>7521.93</v>
      </c>
      <c r="D207" s="46">
        <v>4.516E-3</v>
      </c>
      <c r="E207" s="36"/>
      <c r="G207" s="33"/>
      <c r="H207"/>
      <c r="I207"/>
      <c r="J207"/>
    </row>
    <row r="208" spans="1:10" ht="15.6" x14ac:dyDescent="0.3">
      <c r="A208" s="45" t="s">
        <v>48</v>
      </c>
      <c r="B208" s="14" t="s">
        <v>104</v>
      </c>
      <c r="C208" s="15">
        <v>7365.94</v>
      </c>
      <c r="D208" s="46">
        <v>4.4219999999999997E-3</v>
      </c>
      <c r="E208" s="36"/>
      <c r="G208" s="33"/>
      <c r="H208"/>
      <c r="I208"/>
      <c r="J208"/>
    </row>
    <row r="209" spans="1:10" ht="15.6" x14ac:dyDescent="0.3">
      <c r="A209" s="45" t="s">
        <v>74</v>
      </c>
      <c r="B209" s="14" t="s">
        <v>104</v>
      </c>
      <c r="C209" s="15">
        <v>6753.37</v>
      </c>
      <c r="D209" s="46">
        <v>4.0539999999999994E-3</v>
      </c>
      <c r="E209" s="36"/>
      <c r="G209" s="33"/>
      <c r="H209"/>
      <c r="I209"/>
      <c r="J209"/>
    </row>
    <row r="210" spans="1:10" ht="15.6" x14ac:dyDescent="0.3">
      <c r="A210" s="45" t="s">
        <v>23</v>
      </c>
      <c r="B210" s="14" t="s">
        <v>104</v>
      </c>
      <c r="C210" s="15">
        <v>6661.01</v>
      </c>
      <c r="D210" s="46">
        <v>3.999E-3</v>
      </c>
      <c r="E210" s="36"/>
      <c r="G210" s="33"/>
      <c r="H210"/>
      <c r="I210"/>
      <c r="J210"/>
    </row>
    <row r="211" spans="1:10" ht="15.6" x14ac:dyDescent="0.3">
      <c r="A211" s="45" t="s">
        <v>28</v>
      </c>
      <c r="B211" s="14" t="s">
        <v>104</v>
      </c>
      <c r="C211" s="15">
        <v>4993.07</v>
      </c>
      <c r="D211" s="46">
        <v>2.9980000000000002E-3</v>
      </c>
      <c r="E211" s="36"/>
      <c r="G211" s="33"/>
      <c r="H211"/>
      <c r="I211"/>
      <c r="J211"/>
    </row>
    <row r="212" spans="1:10" ht="15.6" x14ac:dyDescent="0.3">
      <c r="A212" s="45" t="s">
        <v>72</v>
      </c>
      <c r="B212" s="14" t="s">
        <v>104</v>
      </c>
      <c r="C212" s="15">
        <v>4793.76</v>
      </c>
      <c r="D212" s="46">
        <v>2.8779999999999999E-3</v>
      </c>
      <c r="E212" s="36"/>
      <c r="G212" s="33"/>
      <c r="H212"/>
      <c r="I212"/>
      <c r="J212"/>
    </row>
    <row r="213" spans="1:10" ht="15.6" x14ac:dyDescent="0.3">
      <c r="A213" s="45" t="s">
        <v>39</v>
      </c>
      <c r="B213" s="14" t="s">
        <v>104</v>
      </c>
      <c r="C213" s="15">
        <v>3781.19</v>
      </c>
      <c r="D213" s="46">
        <v>2.2699999999999999E-3</v>
      </c>
      <c r="E213" s="36"/>
      <c r="G213" s="33"/>
      <c r="H213"/>
      <c r="I213"/>
      <c r="J213"/>
    </row>
    <row r="214" spans="1:10" ht="15.6" x14ac:dyDescent="0.3">
      <c r="A214" s="45" t="s">
        <v>90</v>
      </c>
      <c r="B214" s="14" t="s">
        <v>104</v>
      </c>
      <c r="C214" s="15">
        <v>3554.06</v>
      </c>
      <c r="D214" s="46">
        <v>2.134E-3</v>
      </c>
      <c r="E214" s="36"/>
      <c r="G214" s="33"/>
      <c r="H214"/>
      <c r="I214"/>
      <c r="J214"/>
    </row>
    <row r="215" spans="1:10" ht="15.6" x14ac:dyDescent="0.3">
      <c r="A215" s="45" t="s">
        <v>30</v>
      </c>
      <c r="B215" s="14" t="s">
        <v>104</v>
      </c>
      <c r="C215" s="15">
        <v>3369.18</v>
      </c>
      <c r="D215" s="46">
        <v>2.0230000000000001E-3</v>
      </c>
      <c r="E215" s="36"/>
      <c r="G215" s="33"/>
      <c r="H215"/>
      <c r="I215"/>
      <c r="J215"/>
    </row>
    <row r="216" spans="1:10" ht="15.6" x14ac:dyDescent="0.3">
      <c r="A216" s="45" t="s">
        <v>32</v>
      </c>
      <c r="B216" s="14" t="s">
        <v>104</v>
      </c>
      <c r="C216" s="15">
        <v>3053.03</v>
      </c>
      <c r="D216" s="46">
        <v>1.833E-3</v>
      </c>
      <c r="E216" s="36"/>
      <c r="G216" s="33"/>
      <c r="H216"/>
      <c r="I216"/>
      <c r="J216"/>
    </row>
    <row r="217" spans="1:10" ht="15.6" x14ac:dyDescent="0.3">
      <c r="A217" s="45" t="s">
        <v>38</v>
      </c>
      <c r="B217" s="14" t="s">
        <v>104</v>
      </c>
      <c r="C217" s="15">
        <v>2936.12</v>
      </c>
      <c r="D217" s="46">
        <v>1.763E-3</v>
      </c>
      <c r="E217" s="36"/>
      <c r="G217" s="33"/>
      <c r="H217"/>
      <c r="I217"/>
      <c r="J217"/>
    </row>
    <row r="218" spans="1:10" ht="15.6" x14ac:dyDescent="0.3">
      <c r="A218" s="45" t="s">
        <v>25</v>
      </c>
      <c r="B218" s="14" t="s">
        <v>104</v>
      </c>
      <c r="C218" s="15">
        <v>2562.4699999999998</v>
      </c>
      <c r="D218" s="46">
        <v>1.5379999999999999E-3</v>
      </c>
      <c r="E218" s="36"/>
      <c r="G218" s="33"/>
      <c r="H218"/>
      <c r="I218"/>
      <c r="J218"/>
    </row>
    <row r="219" spans="1:10" ht="15.6" x14ac:dyDescent="0.3">
      <c r="A219" s="45" t="s">
        <v>43</v>
      </c>
      <c r="B219" s="14" t="s">
        <v>104</v>
      </c>
      <c r="C219" s="15">
        <v>2394.73</v>
      </c>
      <c r="D219" s="46">
        <v>1.438E-3</v>
      </c>
      <c r="E219" s="36"/>
      <c r="G219" s="33"/>
      <c r="H219"/>
      <c r="I219"/>
      <c r="J219"/>
    </row>
    <row r="220" spans="1:10" ht="15.6" x14ac:dyDescent="0.3">
      <c r="A220" s="45" t="s">
        <v>31</v>
      </c>
      <c r="B220" s="14" t="s">
        <v>104</v>
      </c>
      <c r="C220" s="15">
        <v>2217.6799999999998</v>
      </c>
      <c r="D220" s="46">
        <v>1.3309999999999999E-3</v>
      </c>
      <c r="E220" s="36"/>
      <c r="G220" s="33"/>
      <c r="H220"/>
      <c r="I220"/>
      <c r="J220"/>
    </row>
    <row r="221" spans="1:10" ht="15.6" x14ac:dyDescent="0.3">
      <c r="A221" s="45" t="s">
        <v>61</v>
      </c>
      <c r="B221" s="14" t="s">
        <v>104</v>
      </c>
      <c r="C221" s="15">
        <v>2071.7600000000002</v>
      </c>
      <c r="D221" s="46">
        <v>1.2439999999999999E-3</v>
      </c>
      <c r="E221" s="36"/>
      <c r="G221" s="33"/>
      <c r="H221"/>
      <c r="I221"/>
      <c r="J221"/>
    </row>
    <row r="222" spans="1:10" ht="15.6" x14ac:dyDescent="0.3">
      <c r="A222" s="45" t="s">
        <v>33</v>
      </c>
      <c r="B222" s="14" t="s">
        <v>104</v>
      </c>
      <c r="C222" s="15">
        <v>2044.81</v>
      </c>
      <c r="D222" s="46">
        <v>1.2280000000000001E-3</v>
      </c>
      <c r="E222" s="36"/>
      <c r="G222" s="33"/>
      <c r="H222"/>
      <c r="I222"/>
      <c r="J222"/>
    </row>
    <row r="223" spans="1:10" ht="15.6" x14ac:dyDescent="0.3">
      <c r="A223" s="45" t="s">
        <v>41</v>
      </c>
      <c r="B223" s="14" t="s">
        <v>104</v>
      </c>
      <c r="C223" s="15">
        <v>2028.89</v>
      </c>
      <c r="D223" s="46">
        <v>1.2180000000000001E-3</v>
      </c>
      <c r="E223" s="36"/>
      <c r="G223" s="33"/>
      <c r="H223"/>
      <c r="I223"/>
      <c r="J223"/>
    </row>
    <row r="224" spans="1:10" ht="15.6" x14ac:dyDescent="0.3">
      <c r="A224" s="45" t="s">
        <v>57</v>
      </c>
      <c r="B224" s="14" t="s">
        <v>104</v>
      </c>
      <c r="C224" s="15">
        <v>1782</v>
      </c>
      <c r="D224" s="46">
        <v>1.07E-3</v>
      </c>
      <c r="E224" s="36"/>
      <c r="G224" s="33"/>
      <c r="H224"/>
      <c r="I224"/>
      <c r="J224"/>
    </row>
    <row r="225" spans="1:10" ht="15.6" x14ac:dyDescent="0.3">
      <c r="A225" s="45" t="s">
        <v>50</v>
      </c>
      <c r="B225" s="14" t="s">
        <v>104</v>
      </c>
      <c r="C225" s="15">
        <v>1582.78</v>
      </c>
      <c r="D225" s="46">
        <v>9.5E-4</v>
      </c>
      <c r="E225" s="36"/>
      <c r="G225" s="33"/>
      <c r="H225"/>
      <c r="I225"/>
      <c r="J225"/>
    </row>
    <row r="226" spans="1:10" ht="15.6" x14ac:dyDescent="0.3">
      <c r="A226" s="45" t="s">
        <v>37</v>
      </c>
      <c r="B226" s="14" t="s">
        <v>104</v>
      </c>
      <c r="C226" s="15">
        <v>1409.9</v>
      </c>
      <c r="D226" s="46">
        <v>8.4599999999999996E-4</v>
      </c>
      <c r="E226" s="36"/>
      <c r="G226" s="33"/>
      <c r="H226"/>
      <c r="I226"/>
      <c r="J226"/>
    </row>
    <row r="227" spans="1:10" ht="15.6" x14ac:dyDescent="0.3">
      <c r="A227" s="45" t="s">
        <v>64</v>
      </c>
      <c r="B227" s="14" t="s">
        <v>104</v>
      </c>
      <c r="C227" s="15">
        <v>1254.2</v>
      </c>
      <c r="D227" s="46">
        <v>7.5300000000000009E-4</v>
      </c>
      <c r="E227" s="36"/>
      <c r="G227" s="33"/>
      <c r="H227"/>
      <c r="I227"/>
      <c r="J227"/>
    </row>
    <row r="228" spans="1:10" ht="15.6" x14ac:dyDescent="0.3">
      <c r="A228" s="45" t="s">
        <v>54</v>
      </c>
      <c r="B228" s="14" t="s">
        <v>104</v>
      </c>
      <c r="C228" s="15">
        <v>1247.33</v>
      </c>
      <c r="D228" s="46">
        <v>7.4899999999999999E-4</v>
      </c>
      <c r="E228" s="36"/>
      <c r="G228" s="33"/>
      <c r="H228"/>
      <c r="I228"/>
      <c r="J228"/>
    </row>
    <row r="229" spans="1:10" ht="15.6" x14ac:dyDescent="0.3">
      <c r="A229" s="45" t="s">
        <v>45</v>
      </c>
      <c r="B229" s="14" t="s">
        <v>104</v>
      </c>
      <c r="C229" s="15">
        <v>1073.19</v>
      </c>
      <c r="D229" s="46">
        <v>6.4400000000000004E-4</v>
      </c>
      <c r="E229" s="36"/>
      <c r="G229" s="33"/>
      <c r="H229"/>
      <c r="I229"/>
      <c r="J229"/>
    </row>
    <row r="230" spans="1:10" ht="15.6" x14ac:dyDescent="0.3">
      <c r="A230" s="45" t="s">
        <v>51</v>
      </c>
      <c r="B230" s="14" t="s">
        <v>104</v>
      </c>
      <c r="C230" s="15">
        <v>873.81</v>
      </c>
      <c r="D230" s="46">
        <v>5.2499999999999997E-4</v>
      </c>
      <c r="E230" s="36"/>
      <c r="G230" s="33"/>
      <c r="H230"/>
      <c r="I230"/>
      <c r="J230"/>
    </row>
    <row r="231" spans="1:10" ht="15.6" x14ac:dyDescent="0.3">
      <c r="A231" s="45" t="s">
        <v>53</v>
      </c>
      <c r="B231" s="14" t="s">
        <v>104</v>
      </c>
      <c r="C231" s="15">
        <v>803.38</v>
      </c>
      <c r="D231" s="46">
        <v>4.8200000000000001E-4</v>
      </c>
      <c r="E231" s="36"/>
      <c r="G231" s="33"/>
      <c r="H231"/>
      <c r="I231"/>
      <c r="J231"/>
    </row>
    <row r="232" spans="1:10" ht="15.6" x14ac:dyDescent="0.3">
      <c r="A232" s="45" t="s">
        <v>34</v>
      </c>
      <c r="B232" s="14" t="s">
        <v>104</v>
      </c>
      <c r="C232" s="15">
        <v>795.5</v>
      </c>
      <c r="D232" s="46">
        <v>4.7800000000000002E-4</v>
      </c>
      <c r="E232" s="36"/>
      <c r="G232" s="33"/>
      <c r="H232"/>
      <c r="I232"/>
      <c r="J232"/>
    </row>
    <row r="233" spans="1:10" ht="15.6" x14ac:dyDescent="0.3">
      <c r="A233" s="45" t="s">
        <v>47</v>
      </c>
      <c r="B233" s="14" t="s">
        <v>104</v>
      </c>
      <c r="C233" s="15">
        <v>781.32</v>
      </c>
      <c r="D233" s="46">
        <v>4.6899999999999996E-4</v>
      </c>
      <c r="E233" s="36"/>
      <c r="G233" s="33"/>
      <c r="H233"/>
      <c r="I233"/>
      <c r="J233"/>
    </row>
    <row r="234" spans="1:10" ht="15.6" x14ac:dyDescent="0.3">
      <c r="A234" s="45" t="s">
        <v>63</v>
      </c>
      <c r="B234" s="14" t="s">
        <v>104</v>
      </c>
      <c r="C234" s="15">
        <v>737.15</v>
      </c>
      <c r="D234" s="46">
        <v>4.4299999999999998E-4</v>
      </c>
      <c r="E234" s="36"/>
      <c r="G234" s="33"/>
      <c r="H234"/>
      <c r="I234"/>
      <c r="J234"/>
    </row>
    <row r="235" spans="1:10" ht="15.6" x14ac:dyDescent="0.3">
      <c r="A235" s="45" t="s">
        <v>96</v>
      </c>
      <c r="B235" s="14" t="s">
        <v>104</v>
      </c>
      <c r="C235" s="15">
        <v>655.20000000000005</v>
      </c>
      <c r="D235" s="46">
        <v>3.9300000000000001E-4</v>
      </c>
      <c r="E235" s="36"/>
      <c r="G235" s="33"/>
      <c r="H235"/>
      <c r="I235"/>
      <c r="J235"/>
    </row>
    <row r="236" spans="1:10" ht="15.6" x14ac:dyDescent="0.3">
      <c r="A236" s="45" t="s">
        <v>55</v>
      </c>
      <c r="B236" s="14" t="s">
        <v>104</v>
      </c>
      <c r="C236" s="15">
        <v>649.65</v>
      </c>
      <c r="D236" s="46">
        <v>3.8999999999999999E-4</v>
      </c>
      <c r="E236" s="36"/>
      <c r="G236" s="33"/>
      <c r="H236"/>
      <c r="I236"/>
      <c r="J236"/>
    </row>
    <row r="237" spans="1:10" ht="15.6" x14ac:dyDescent="0.3">
      <c r="A237" s="45" t="s">
        <v>22</v>
      </c>
      <c r="B237" s="14" t="s">
        <v>104</v>
      </c>
      <c r="C237" s="15">
        <v>526.26</v>
      </c>
      <c r="D237" s="46">
        <v>3.1600000000000004E-4</v>
      </c>
      <c r="E237" s="36"/>
      <c r="G237" s="33"/>
      <c r="H237"/>
      <c r="I237"/>
      <c r="J237"/>
    </row>
    <row r="238" spans="1:10" ht="15.6" x14ac:dyDescent="0.3">
      <c r="A238" s="45" t="s">
        <v>60</v>
      </c>
      <c r="B238" s="14" t="s">
        <v>104</v>
      </c>
      <c r="C238" s="15">
        <v>503.4</v>
      </c>
      <c r="D238" s="46">
        <v>3.0200000000000002E-4</v>
      </c>
      <c r="E238" s="36"/>
      <c r="G238" s="33"/>
      <c r="H238"/>
      <c r="I238"/>
      <c r="J238"/>
    </row>
    <row r="239" spans="1:10" ht="15.6" x14ac:dyDescent="0.3">
      <c r="A239" s="45" t="s">
        <v>42</v>
      </c>
      <c r="B239" s="14" t="s">
        <v>104</v>
      </c>
      <c r="C239" s="15">
        <v>401.01</v>
      </c>
      <c r="D239" s="46">
        <v>2.41E-4</v>
      </c>
      <c r="E239" s="36"/>
      <c r="G239" s="33"/>
      <c r="H239"/>
      <c r="I239"/>
      <c r="J239"/>
    </row>
    <row r="240" spans="1:10" ht="15.6" x14ac:dyDescent="0.3">
      <c r="A240" s="45" t="s">
        <v>35</v>
      </c>
      <c r="B240" s="14" t="s">
        <v>104</v>
      </c>
      <c r="C240" s="15">
        <v>396.64</v>
      </c>
      <c r="D240" s="46">
        <v>2.3800000000000001E-4</v>
      </c>
      <c r="E240" s="36"/>
      <c r="G240" s="33"/>
      <c r="H240"/>
      <c r="I240"/>
      <c r="J240"/>
    </row>
    <row r="241" spans="1:10" ht="15.6" x14ac:dyDescent="0.3">
      <c r="A241" s="45" t="s">
        <v>65</v>
      </c>
      <c r="B241" s="14" t="s">
        <v>104</v>
      </c>
      <c r="C241" s="15">
        <v>394.9</v>
      </c>
      <c r="D241" s="46">
        <v>2.3699999999999999E-4</v>
      </c>
      <c r="E241" s="36"/>
      <c r="G241" s="33"/>
      <c r="H241"/>
      <c r="I241"/>
      <c r="J241"/>
    </row>
    <row r="242" spans="1:10" ht="15.6" x14ac:dyDescent="0.3">
      <c r="A242" s="45" t="s">
        <v>59</v>
      </c>
      <c r="B242" s="14" t="s">
        <v>104</v>
      </c>
      <c r="C242" s="15">
        <v>362.88</v>
      </c>
      <c r="D242" s="46">
        <v>2.1799999999999999E-4</v>
      </c>
      <c r="E242" s="36"/>
      <c r="G242" s="33"/>
      <c r="H242"/>
      <c r="I242"/>
      <c r="J242"/>
    </row>
    <row r="243" spans="1:10" ht="15.6" x14ac:dyDescent="0.3">
      <c r="A243" s="45" t="s">
        <v>27</v>
      </c>
      <c r="B243" s="14" t="s">
        <v>104</v>
      </c>
      <c r="C243" s="15">
        <v>361.24</v>
      </c>
      <c r="D243" s="46">
        <v>2.1700000000000002E-4</v>
      </c>
      <c r="E243" s="36"/>
      <c r="G243" s="33"/>
      <c r="H243"/>
      <c r="I243"/>
      <c r="J243"/>
    </row>
    <row r="244" spans="1:10" ht="15.6" x14ac:dyDescent="0.3">
      <c r="A244" s="45" t="s">
        <v>83</v>
      </c>
      <c r="B244" s="14" t="s">
        <v>104</v>
      </c>
      <c r="C244" s="15">
        <v>337.89</v>
      </c>
      <c r="D244" s="46">
        <v>2.0299999999999997E-4</v>
      </c>
      <c r="E244" s="36"/>
      <c r="G244" s="33"/>
      <c r="H244"/>
      <c r="I244"/>
      <c r="J244"/>
    </row>
    <row r="245" spans="1:10" ht="15.6" x14ac:dyDescent="0.3">
      <c r="A245" s="45" t="s">
        <v>52</v>
      </c>
      <c r="B245" s="14" t="s">
        <v>104</v>
      </c>
      <c r="C245" s="15">
        <v>328.34</v>
      </c>
      <c r="D245" s="46">
        <v>1.9699999999999999E-4</v>
      </c>
      <c r="E245" s="36"/>
      <c r="G245" s="33"/>
      <c r="H245"/>
      <c r="I245"/>
      <c r="J245"/>
    </row>
    <row r="246" spans="1:10" ht="15.6" x14ac:dyDescent="0.3">
      <c r="A246" s="45" t="s">
        <v>62</v>
      </c>
      <c r="B246" s="14" t="s">
        <v>104</v>
      </c>
      <c r="C246" s="15">
        <v>312.88</v>
      </c>
      <c r="D246" s="46">
        <v>1.8800000000000002E-4</v>
      </c>
      <c r="E246" s="36"/>
      <c r="G246" s="33"/>
      <c r="H246"/>
      <c r="I246"/>
      <c r="J246"/>
    </row>
    <row r="247" spans="1:10" ht="15.6" x14ac:dyDescent="0.3">
      <c r="A247" s="45" t="s">
        <v>56</v>
      </c>
      <c r="B247" s="14" t="s">
        <v>104</v>
      </c>
      <c r="C247" s="15">
        <v>297.41000000000003</v>
      </c>
      <c r="D247" s="46">
        <v>1.7899999999999999E-4</v>
      </c>
      <c r="E247" s="36"/>
      <c r="G247" s="33"/>
      <c r="H247"/>
      <c r="I247"/>
      <c r="J247"/>
    </row>
    <row r="248" spans="1:10" ht="15.6" x14ac:dyDescent="0.3">
      <c r="A248" s="45" t="s">
        <v>66</v>
      </c>
      <c r="B248" s="14" t="s">
        <v>104</v>
      </c>
      <c r="C248" s="15">
        <v>278.47000000000003</v>
      </c>
      <c r="D248" s="46">
        <v>1.6699999999999999E-4</v>
      </c>
      <c r="E248" s="36"/>
      <c r="G248" s="33"/>
      <c r="H248"/>
      <c r="I248"/>
      <c r="J248"/>
    </row>
    <row r="249" spans="1:10" ht="15.6" x14ac:dyDescent="0.3">
      <c r="A249" s="45" t="s">
        <v>44</v>
      </c>
      <c r="B249" s="14" t="s">
        <v>104</v>
      </c>
      <c r="C249" s="15">
        <v>277.18</v>
      </c>
      <c r="D249" s="46">
        <v>1.66E-4</v>
      </c>
      <c r="E249" s="36"/>
      <c r="G249" s="33"/>
      <c r="H249"/>
      <c r="I249"/>
      <c r="J249"/>
    </row>
    <row r="250" spans="1:10" ht="15.6" x14ac:dyDescent="0.3">
      <c r="A250" s="45" t="s">
        <v>91</v>
      </c>
      <c r="B250" s="14" t="s">
        <v>104</v>
      </c>
      <c r="C250" s="15">
        <v>265.2</v>
      </c>
      <c r="D250" s="46">
        <v>1.5900000000000002E-4</v>
      </c>
      <c r="E250" s="36"/>
      <c r="G250" s="33"/>
      <c r="H250"/>
      <c r="I250"/>
      <c r="J250"/>
    </row>
    <row r="251" spans="1:10" ht="15.6" x14ac:dyDescent="0.3">
      <c r="A251" s="45" t="s">
        <v>80</v>
      </c>
      <c r="B251" s="14" t="s">
        <v>104</v>
      </c>
      <c r="C251" s="15">
        <v>257.02</v>
      </c>
      <c r="D251" s="46">
        <v>1.54E-4</v>
      </c>
      <c r="E251" s="36"/>
      <c r="G251" s="33"/>
      <c r="H251"/>
      <c r="I251"/>
      <c r="J251"/>
    </row>
    <row r="252" spans="1:10" ht="15.6" x14ac:dyDescent="0.3">
      <c r="A252" s="45" t="s">
        <v>84</v>
      </c>
      <c r="B252" s="14" t="s">
        <v>104</v>
      </c>
      <c r="C252" s="15">
        <v>233.28</v>
      </c>
      <c r="D252" s="46">
        <v>1.4000000000000001E-4</v>
      </c>
      <c r="E252" s="36"/>
      <c r="G252" s="33"/>
      <c r="H252"/>
      <c r="I252"/>
      <c r="J252"/>
    </row>
    <row r="253" spans="1:10" ht="15.6" x14ac:dyDescent="0.3">
      <c r="A253" s="45" t="s">
        <v>46</v>
      </c>
      <c r="B253" s="14" t="s">
        <v>104</v>
      </c>
      <c r="C253" s="15">
        <v>208.08</v>
      </c>
      <c r="D253" s="46">
        <v>1.25E-4</v>
      </c>
      <c r="E253" s="36"/>
      <c r="G253" s="33"/>
      <c r="H253"/>
      <c r="I253"/>
      <c r="J253"/>
    </row>
    <row r="254" spans="1:10" ht="15.6" x14ac:dyDescent="0.3">
      <c r="A254" s="45" t="s">
        <v>58</v>
      </c>
      <c r="B254" s="14" t="s">
        <v>104</v>
      </c>
      <c r="C254" s="15">
        <v>203.04</v>
      </c>
      <c r="D254" s="46">
        <v>1.2200000000000001E-4</v>
      </c>
      <c r="E254" s="36"/>
      <c r="G254" s="33"/>
      <c r="H254"/>
      <c r="I254"/>
      <c r="J254"/>
    </row>
    <row r="255" spans="1:10" ht="15.6" x14ac:dyDescent="0.3">
      <c r="A255" s="45" t="s">
        <v>97</v>
      </c>
      <c r="B255" s="14" t="s">
        <v>104</v>
      </c>
      <c r="C255" s="15">
        <v>189.2</v>
      </c>
      <c r="D255" s="46">
        <v>1.1400000000000001E-4</v>
      </c>
      <c r="E255" s="36"/>
      <c r="G255" s="33"/>
      <c r="H255"/>
      <c r="I255"/>
      <c r="J255"/>
    </row>
    <row r="256" spans="1:10" ht="15.6" x14ac:dyDescent="0.3">
      <c r="A256" s="45" t="s">
        <v>81</v>
      </c>
      <c r="B256" s="14" t="s">
        <v>104</v>
      </c>
      <c r="C256" s="15">
        <v>178.16</v>
      </c>
      <c r="D256" s="46">
        <v>1.07E-4</v>
      </c>
      <c r="E256" s="36"/>
      <c r="G256" s="33"/>
      <c r="H256"/>
      <c r="I256"/>
      <c r="J256"/>
    </row>
    <row r="257" spans="1:10" ht="15.6" x14ac:dyDescent="0.3">
      <c r="A257" s="45" t="s">
        <v>76</v>
      </c>
      <c r="B257" s="14" t="s">
        <v>104</v>
      </c>
      <c r="C257" s="15">
        <v>148.84</v>
      </c>
      <c r="D257" s="46">
        <v>8.8999999999999995E-5</v>
      </c>
      <c r="E257" s="36"/>
      <c r="G257" s="33"/>
      <c r="H257"/>
      <c r="I257"/>
      <c r="J257"/>
    </row>
    <row r="258" spans="1:10" ht="15.6" x14ac:dyDescent="0.3">
      <c r="A258" s="45" t="s">
        <v>49</v>
      </c>
      <c r="B258" s="14" t="s">
        <v>104</v>
      </c>
      <c r="C258" s="15">
        <v>129.38999999999999</v>
      </c>
      <c r="D258" s="46">
        <v>7.7999999999999999E-5</v>
      </c>
      <c r="E258" s="36"/>
      <c r="G258" s="33"/>
      <c r="H258"/>
      <c r="I258"/>
      <c r="J258"/>
    </row>
    <row r="259" spans="1:10" ht="15.6" x14ac:dyDescent="0.3">
      <c r="A259" s="45" t="s">
        <v>93</v>
      </c>
      <c r="B259" s="14" t="s">
        <v>104</v>
      </c>
      <c r="C259" s="15">
        <v>119.7</v>
      </c>
      <c r="D259" s="46">
        <v>7.2000000000000002E-5</v>
      </c>
      <c r="E259" s="36"/>
      <c r="G259" s="33"/>
      <c r="H259"/>
      <c r="I259"/>
      <c r="J259"/>
    </row>
    <row r="260" spans="1:10" ht="15.6" x14ac:dyDescent="0.3">
      <c r="A260" s="45" t="s">
        <v>67</v>
      </c>
      <c r="B260" s="14" t="s">
        <v>104</v>
      </c>
      <c r="C260" s="15">
        <v>112.56</v>
      </c>
      <c r="D260" s="46">
        <v>6.7999999999999999E-5</v>
      </c>
      <c r="E260" s="36"/>
      <c r="G260" s="33"/>
      <c r="H260"/>
      <c r="I260"/>
      <c r="J260"/>
    </row>
    <row r="261" spans="1:10" ht="15.6" x14ac:dyDescent="0.3">
      <c r="A261" s="45" t="s">
        <v>70</v>
      </c>
      <c r="B261" s="14" t="s">
        <v>104</v>
      </c>
      <c r="C261" s="15">
        <v>92.74</v>
      </c>
      <c r="D261" s="46">
        <v>5.5999999999999999E-5</v>
      </c>
      <c r="E261" s="36"/>
      <c r="G261" s="33"/>
      <c r="H261"/>
      <c r="I261"/>
      <c r="J261"/>
    </row>
    <row r="262" spans="1:10" ht="15.6" x14ac:dyDescent="0.3">
      <c r="A262" s="45" t="s">
        <v>75</v>
      </c>
      <c r="B262" s="14" t="s">
        <v>104</v>
      </c>
      <c r="C262" s="15">
        <v>90.27</v>
      </c>
      <c r="D262" s="46">
        <v>5.4000000000000005E-5</v>
      </c>
      <c r="E262" s="36"/>
      <c r="G262" s="33"/>
      <c r="H262"/>
      <c r="I262"/>
      <c r="J262"/>
    </row>
    <row r="263" spans="1:10" ht="15.6" x14ac:dyDescent="0.3">
      <c r="A263" s="45" t="s">
        <v>77</v>
      </c>
      <c r="B263" s="14" t="s">
        <v>104</v>
      </c>
      <c r="C263" s="15">
        <v>88.4</v>
      </c>
      <c r="D263" s="46">
        <v>5.3000000000000001E-5</v>
      </c>
      <c r="E263" s="36"/>
      <c r="G263" s="33"/>
      <c r="H263"/>
      <c r="I263"/>
      <c r="J263"/>
    </row>
    <row r="264" spans="1:10" ht="15.6" x14ac:dyDescent="0.3">
      <c r="A264" s="45" t="s">
        <v>79</v>
      </c>
      <c r="B264" s="14" t="s">
        <v>104</v>
      </c>
      <c r="C264" s="15">
        <v>81.459999999999994</v>
      </c>
      <c r="D264" s="46">
        <v>4.8999999999999998E-5</v>
      </c>
      <c r="E264" s="36"/>
      <c r="G264" s="33"/>
      <c r="H264"/>
      <c r="I264"/>
      <c r="J264"/>
    </row>
    <row r="265" spans="1:10" ht="15.6" x14ac:dyDescent="0.3">
      <c r="A265" s="45" t="s">
        <v>88</v>
      </c>
      <c r="B265" s="14" t="s">
        <v>104</v>
      </c>
      <c r="C265" s="15">
        <v>78.3</v>
      </c>
      <c r="D265" s="46">
        <v>4.7000000000000004E-5</v>
      </c>
      <c r="E265" s="36"/>
      <c r="G265" s="33"/>
      <c r="H265"/>
      <c r="I265"/>
      <c r="J265"/>
    </row>
    <row r="266" spans="1:10" ht="15.6" x14ac:dyDescent="0.3">
      <c r="A266" s="45" t="s">
        <v>73</v>
      </c>
      <c r="B266" s="14" t="s">
        <v>104</v>
      </c>
      <c r="C266" s="15">
        <v>72.430000000000007</v>
      </c>
      <c r="D266" s="46">
        <v>4.3000000000000002E-5</v>
      </c>
      <c r="E266" s="36"/>
      <c r="G266" s="33"/>
      <c r="H266"/>
      <c r="I266"/>
      <c r="J266"/>
    </row>
    <row r="267" spans="1:10" ht="15.6" x14ac:dyDescent="0.3">
      <c r="A267" s="45" t="s">
        <v>68</v>
      </c>
      <c r="B267" s="14" t="s">
        <v>104</v>
      </c>
      <c r="C267" s="15">
        <v>71.8</v>
      </c>
      <c r="D267" s="46">
        <v>4.3000000000000002E-5</v>
      </c>
      <c r="E267" s="36"/>
      <c r="G267" s="33"/>
      <c r="H267"/>
      <c r="I267"/>
      <c r="J267"/>
    </row>
    <row r="268" spans="1:10" ht="15.6" x14ac:dyDescent="0.3">
      <c r="A268" s="45" t="s">
        <v>98</v>
      </c>
      <c r="B268" s="14" t="s">
        <v>104</v>
      </c>
      <c r="C268" s="15">
        <v>55.32</v>
      </c>
      <c r="D268" s="46">
        <v>3.3000000000000003E-5</v>
      </c>
      <c r="E268" s="36"/>
      <c r="G268" s="33"/>
      <c r="H268"/>
      <c r="I268"/>
      <c r="J268"/>
    </row>
    <row r="269" spans="1:10" ht="15.6" x14ac:dyDescent="0.3">
      <c r="A269" s="45" t="s">
        <v>85</v>
      </c>
      <c r="B269" s="14" t="s">
        <v>104</v>
      </c>
      <c r="C269" s="15">
        <v>20.7</v>
      </c>
      <c r="D269" s="46">
        <v>1.1999999999999999E-5</v>
      </c>
      <c r="E269" s="36"/>
      <c r="G269" s="33"/>
      <c r="H269"/>
      <c r="I269"/>
      <c r="J269"/>
    </row>
    <row r="270" spans="1:10" ht="15.6" x14ac:dyDescent="0.3">
      <c r="A270" s="45" t="s">
        <v>99</v>
      </c>
      <c r="B270" s="14" t="s">
        <v>104</v>
      </c>
      <c r="C270" s="15">
        <v>16.87</v>
      </c>
      <c r="D270" s="46">
        <v>1.0000000000000001E-5</v>
      </c>
      <c r="E270" s="36"/>
      <c r="G270" s="33"/>
      <c r="H270"/>
      <c r="I270"/>
      <c r="J270"/>
    </row>
    <row r="271" spans="1:10" ht="15.6" x14ac:dyDescent="0.3">
      <c r="A271" s="45" t="s">
        <v>82</v>
      </c>
      <c r="B271" s="14" t="s">
        <v>104</v>
      </c>
      <c r="C271" s="15">
        <v>13.43</v>
      </c>
      <c r="D271" s="46">
        <v>7.9999999999999996E-6</v>
      </c>
      <c r="E271" s="36"/>
      <c r="G271" s="33"/>
      <c r="H271"/>
      <c r="I271"/>
      <c r="J271"/>
    </row>
    <row r="272" spans="1:10" ht="15.6" x14ac:dyDescent="0.3">
      <c r="A272" s="45" t="s">
        <v>100</v>
      </c>
      <c r="B272" s="14" t="s">
        <v>104</v>
      </c>
      <c r="C272" s="15">
        <v>8.4600000000000009</v>
      </c>
      <c r="D272" s="46">
        <v>5.0000000000000004E-6</v>
      </c>
      <c r="E272" s="36"/>
      <c r="G272" s="33"/>
      <c r="H272"/>
      <c r="I272"/>
      <c r="J272"/>
    </row>
    <row r="273" spans="1:10" ht="15.6" x14ac:dyDescent="0.3">
      <c r="A273" s="45" t="s">
        <v>4</v>
      </c>
      <c r="B273" s="14" t="s">
        <v>107</v>
      </c>
      <c r="C273" s="15">
        <v>221990.26</v>
      </c>
      <c r="D273" s="46">
        <v>0.13921500000000001</v>
      </c>
      <c r="E273" s="36"/>
      <c r="G273" s="33"/>
      <c r="H273"/>
      <c r="I273"/>
      <c r="J273"/>
    </row>
    <row r="274" spans="1:10" ht="15.6" x14ac:dyDescent="0.3">
      <c r="A274" s="45" t="s">
        <v>1</v>
      </c>
      <c r="B274" s="14" t="s">
        <v>107</v>
      </c>
      <c r="C274" s="15">
        <v>211861.93</v>
      </c>
      <c r="D274" s="46">
        <v>0.13286300000000001</v>
      </c>
      <c r="E274" s="36"/>
      <c r="G274" s="33"/>
      <c r="H274"/>
      <c r="I274"/>
      <c r="J274"/>
    </row>
    <row r="275" spans="1:10" ht="15.6" x14ac:dyDescent="0.3">
      <c r="A275" s="45" t="s">
        <v>0</v>
      </c>
      <c r="B275" s="14" t="s">
        <v>107</v>
      </c>
      <c r="C275" s="15">
        <v>157069.13</v>
      </c>
      <c r="D275" s="46">
        <v>9.8501999999999992E-2</v>
      </c>
      <c r="E275" s="36"/>
      <c r="G275" s="33"/>
      <c r="H275"/>
      <c r="I275"/>
      <c r="J275"/>
    </row>
    <row r="276" spans="1:10" ht="15.6" x14ac:dyDescent="0.3">
      <c r="A276" s="45" t="s">
        <v>2</v>
      </c>
      <c r="B276" s="14" t="s">
        <v>107</v>
      </c>
      <c r="C276" s="15">
        <v>153197.1</v>
      </c>
      <c r="D276" s="46">
        <v>9.6073000000000006E-2</v>
      </c>
      <c r="E276" s="36"/>
      <c r="G276" s="33"/>
      <c r="H276"/>
      <c r="I276"/>
      <c r="J276"/>
    </row>
    <row r="277" spans="1:10" ht="15.6" x14ac:dyDescent="0.3">
      <c r="A277" s="45" t="s">
        <v>3</v>
      </c>
      <c r="B277" s="14" t="s">
        <v>107</v>
      </c>
      <c r="C277" s="15">
        <v>118446.92</v>
      </c>
      <c r="D277" s="46">
        <v>7.4281E-2</v>
      </c>
      <c r="E277" s="36"/>
      <c r="G277" s="33"/>
      <c r="H277"/>
      <c r="I277"/>
      <c r="J277"/>
    </row>
    <row r="278" spans="1:10" ht="15.6" x14ac:dyDescent="0.3">
      <c r="A278" s="45" t="s">
        <v>8</v>
      </c>
      <c r="B278" s="14" t="s">
        <v>107</v>
      </c>
      <c r="C278" s="15">
        <v>96389.2</v>
      </c>
      <c r="D278" s="46">
        <v>6.0448000000000002E-2</v>
      </c>
      <c r="E278" s="36"/>
      <c r="G278" s="33"/>
      <c r="H278"/>
      <c r="I278"/>
      <c r="J278"/>
    </row>
    <row r="279" spans="1:10" ht="15.6" x14ac:dyDescent="0.3">
      <c r="A279" s="45" t="s">
        <v>12</v>
      </c>
      <c r="B279" s="14" t="s">
        <v>107</v>
      </c>
      <c r="C279" s="15">
        <v>72694.87</v>
      </c>
      <c r="D279" s="46">
        <v>4.5589000000000005E-2</v>
      </c>
      <c r="E279" s="36"/>
      <c r="G279" s="33"/>
      <c r="H279"/>
      <c r="I279"/>
      <c r="J279"/>
    </row>
    <row r="280" spans="1:10" ht="15.6" x14ac:dyDescent="0.3">
      <c r="A280" s="45" t="s">
        <v>6</v>
      </c>
      <c r="B280" s="14" t="s">
        <v>107</v>
      </c>
      <c r="C280" s="15">
        <v>58579.4</v>
      </c>
      <c r="D280" s="46">
        <v>3.6735999999999998E-2</v>
      </c>
      <c r="E280" s="36"/>
      <c r="G280" s="33"/>
      <c r="H280"/>
      <c r="I280"/>
      <c r="J280"/>
    </row>
    <row r="281" spans="1:10" ht="15.6" x14ac:dyDescent="0.3">
      <c r="A281" s="45" t="s">
        <v>14</v>
      </c>
      <c r="B281" s="14" t="s">
        <v>107</v>
      </c>
      <c r="C281" s="15">
        <v>56829.31</v>
      </c>
      <c r="D281" s="46">
        <v>3.5638999999999997E-2</v>
      </c>
      <c r="E281" s="36"/>
      <c r="G281" s="33"/>
      <c r="H281"/>
      <c r="I281"/>
      <c r="J281"/>
    </row>
    <row r="282" spans="1:10" ht="15.6" x14ac:dyDescent="0.3">
      <c r="A282" s="45" t="s">
        <v>10</v>
      </c>
      <c r="B282" s="14" t="s">
        <v>107</v>
      </c>
      <c r="C282" s="15">
        <v>49734.37</v>
      </c>
      <c r="D282" s="46">
        <v>3.1190000000000002E-2</v>
      </c>
      <c r="E282" s="36"/>
      <c r="G282" s="33"/>
      <c r="H282"/>
      <c r="I282"/>
      <c r="J282"/>
    </row>
    <row r="283" spans="1:10" ht="15.6" x14ac:dyDescent="0.3">
      <c r="A283" s="45" t="s">
        <v>9</v>
      </c>
      <c r="B283" s="14" t="s">
        <v>107</v>
      </c>
      <c r="C283" s="15">
        <v>44156.62</v>
      </c>
      <c r="D283" s="46">
        <v>2.7692000000000001E-2</v>
      </c>
      <c r="E283" s="36"/>
      <c r="G283" s="33"/>
      <c r="H283"/>
      <c r="I283"/>
      <c r="J283"/>
    </row>
    <row r="284" spans="1:10" ht="15.6" x14ac:dyDescent="0.3">
      <c r="A284" s="45" t="s">
        <v>15</v>
      </c>
      <c r="B284" s="14" t="s">
        <v>107</v>
      </c>
      <c r="C284" s="15">
        <v>43178.79</v>
      </c>
      <c r="D284" s="46">
        <v>2.7078000000000001E-2</v>
      </c>
      <c r="E284" s="36"/>
      <c r="G284" s="33"/>
      <c r="H284"/>
      <c r="I284"/>
      <c r="J284"/>
    </row>
    <row r="285" spans="1:10" ht="15.6" x14ac:dyDescent="0.3">
      <c r="A285" s="45" t="s">
        <v>11</v>
      </c>
      <c r="B285" s="14" t="s">
        <v>107</v>
      </c>
      <c r="C285" s="15">
        <v>42589.62</v>
      </c>
      <c r="D285" s="46">
        <v>2.6709E-2</v>
      </c>
      <c r="E285" s="36"/>
      <c r="G285" s="33"/>
      <c r="H285"/>
      <c r="I285"/>
      <c r="J285"/>
    </row>
    <row r="286" spans="1:10" ht="15.6" x14ac:dyDescent="0.3">
      <c r="A286" s="45" t="s">
        <v>16</v>
      </c>
      <c r="B286" s="14" t="s">
        <v>107</v>
      </c>
      <c r="C286" s="15">
        <v>24526.66</v>
      </c>
      <c r="D286" s="46">
        <v>1.5381000000000001E-2</v>
      </c>
      <c r="E286" s="36"/>
      <c r="G286" s="33"/>
      <c r="H286"/>
      <c r="I286"/>
      <c r="J286"/>
    </row>
    <row r="287" spans="1:10" ht="15.6" x14ac:dyDescent="0.3">
      <c r="A287" s="45" t="s">
        <v>13</v>
      </c>
      <c r="B287" s="14" t="s">
        <v>107</v>
      </c>
      <c r="C287" s="15">
        <v>23777.45</v>
      </c>
      <c r="D287" s="46">
        <v>1.4911000000000001E-2</v>
      </c>
      <c r="E287" s="36"/>
      <c r="G287" s="33"/>
      <c r="H287"/>
      <c r="I287"/>
      <c r="J287"/>
    </row>
    <row r="288" spans="1:10" ht="15.6" x14ac:dyDescent="0.3">
      <c r="A288" s="45" t="s">
        <v>7</v>
      </c>
      <c r="B288" s="14" t="s">
        <v>107</v>
      </c>
      <c r="C288" s="15">
        <v>20030.740000000002</v>
      </c>
      <c r="D288" s="46">
        <v>1.2562E-2</v>
      </c>
      <c r="E288" s="36"/>
      <c r="G288" s="33"/>
      <c r="H288"/>
      <c r="I288"/>
      <c r="J288"/>
    </row>
    <row r="289" spans="1:10" ht="15.6" x14ac:dyDescent="0.3">
      <c r="A289" s="45" t="s">
        <v>17</v>
      </c>
      <c r="B289" s="14" t="s">
        <v>107</v>
      </c>
      <c r="C289" s="15">
        <v>18792.68</v>
      </c>
      <c r="D289" s="46">
        <v>1.1785E-2</v>
      </c>
      <c r="E289" s="36"/>
      <c r="G289" s="33"/>
      <c r="H289"/>
      <c r="I289"/>
      <c r="J289"/>
    </row>
    <row r="290" spans="1:10" ht="15.6" x14ac:dyDescent="0.3">
      <c r="A290" s="45" t="s">
        <v>21</v>
      </c>
      <c r="B290" s="14" t="s">
        <v>107</v>
      </c>
      <c r="C290" s="15">
        <v>14207.44</v>
      </c>
      <c r="D290" s="46">
        <v>8.9099999999999995E-3</v>
      </c>
      <c r="E290" s="36"/>
      <c r="G290" s="33"/>
      <c r="H290"/>
      <c r="I290"/>
      <c r="J290"/>
    </row>
    <row r="291" spans="1:10" ht="15.6" x14ac:dyDescent="0.3">
      <c r="A291" s="45" t="s">
        <v>24</v>
      </c>
      <c r="B291" s="14" t="s">
        <v>107</v>
      </c>
      <c r="C291" s="15">
        <v>14056.24</v>
      </c>
      <c r="D291" s="46">
        <v>8.8149999999999999E-3</v>
      </c>
      <c r="E291" s="36"/>
      <c r="G291" s="33"/>
      <c r="H291"/>
      <c r="I291"/>
      <c r="J291"/>
    </row>
    <row r="292" spans="1:10" ht="15.6" x14ac:dyDescent="0.3">
      <c r="A292" s="45" t="s">
        <v>5</v>
      </c>
      <c r="B292" s="14" t="s">
        <v>107</v>
      </c>
      <c r="C292" s="15">
        <v>13433.08</v>
      </c>
      <c r="D292" s="46">
        <v>8.4240000000000009E-3</v>
      </c>
      <c r="E292" s="36"/>
    </row>
    <row r="293" spans="1:10" ht="15.6" x14ac:dyDescent="0.3">
      <c r="A293" s="45" t="s">
        <v>26</v>
      </c>
      <c r="B293" s="14" t="s">
        <v>107</v>
      </c>
      <c r="C293" s="15">
        <v>11480.89</v>
      </c>
      <c r="D293" s="46">
        <v>7.1999999999999998E-3</v>
      </c>
      <c r="E293" s="36"/>
    </row>
    <row r="294" spans="1:10" ht="15.6" x14ac:dyDescent="0.3">
      <c r="A294" s="45" t="s">
        <v>23</v>
      </c>
      <c r="B294" s="14" t="s">
        <v>107</v>
      </c>
      <c r="C294" s="15">
        <v>10057.9</v>
      </c>
      <c r="D294" s="46">
        <v>6.3080000000000002E-3</v>
      </c>
      <c r="E294" s="36"/>
    </row>
    <row r="295" spans="1:10" ht="15.6" x14ac:dyDescent="0.3">
      <c r="A295" s="45" t="s">
        <v>29</v>
      </c>
      <c r="B295" s="14" t="s">
        <v>107</v>
      </c>
      <c r="C295" s="15">
        <v>9175.4500000000007</v>
      </c>
      <c r="D295" s="46">
        <v>5.7540000000000004E-3</v>
      </c>
      <c r="E295" s="36"/>
    </row>
    <row r="296" spans="1:10" ht="15.6" x14ac:dyDescent="0.3">
      <c r="A296" s="45" t="s">
        <v>20</v>
      </c>
      <c r="B296" s="14" t="s">
        <v>107</v>
      </c>
      <c r="C296" s="15">
        <v>8864.25</v>
      </c>
      <c r="D296" s="46">
        <v>5.5589999999999997E-3</v>
      </c>
      <c r="E296" s="36"/>
    </row>
    <row r="297" spans="1:10" ht="15.6" x14ac:dyDescent="0.3">
      <c r="A297" s="45" t="s">
        <v>19</v>
      </c>
      <c r="B297" s="14" t="s">
        <v>107</v>
      </c>
      <c r="C297" s="15">
        <v>7969.67</v>
      </c>
      <c r="D297" s="46">
        <v>4.9979999999999998E-3</v>
      </c>
      <c r="E297" s="36"/>
    </row>
    <row r="298" spans="1:10" ht="15.6" x14ac:dyDescent="0.3">
      <c r="A298" s="45" t="s">
        <v>130</v>
      </c>
      <c r="B298" s="14" t="s">
        <v>107</v>
      </c>
      <c r="C298" s="15">
        <v>6231.69</v>
      </c>
      <c r="D298" s="46">
        <v>3.908E-3</v>
      </c>
      <c r="E298" s="36"/>
    </row>
    <row r="299" spans="1:10" ht="15.6" x14ac:dyDescent="0.3">
      <c r="A299" s="45" t="s">
        <v>38</v>
      </c>
      <c r="B299" s="14" t="s">
        <v>107</v>
      </c>
      <c r="C299" s="15">
        <v>6091.07</v>
      </c>
      <c r="D299" s="46">
        <v>3.82E-3</v>
      </c>
      <c r="E299" s="36"/>
    </row>
    <row r="300" spans="1:10" ht="15.6" x14ac:dyDescent="0.3">
      <c r="A300" s="45" t="s">
        <v>18</v>
      </c>
      <c r="B300" s="14" t="s">
        <v>107</v>
      </c>
      <c r="C300" s="15">
        <v>5905.19</v>
      </c>
      <c r="D300" s="46">
        <v>3.7030000000000001E-3</v>
      </c>
      <c r="E300" s="36"/>
    </row>
    <row r="301" spans="1:10" ht="15.6" x14ac:dyDescent="0.3">
      <c r="A301" s="45" t="s">
        <v>74</v>
      </c>
      <c r="B301" s="14" t="s">
        <v>107</v>
      </c>
      <c r="C301" s="15">
        <v>5757.36</v>
      </c>
      <c r="D301" s="46">
        <v>3.6109999999999996E-3</v>
      </c>
      <c r="E301" s="36"/>
    </row>
    <row r="302" spans="1:10" ht="15.6" x14ac:dyDescent="0.3">
      <c r="A302" s="45" t="s">
        <v>41</v>
      </c>
      <c r="B302" s="14" t="s">
        <v>107</v>
      </c>
      <c r="C302" s="15">
        <v>5214.3900000000003</v>
      </c>
      <c r="D302" s="46">
        <v>3.2700000000000003E-3</v>
      </c>
      <c r="E302" s="36"/>
    </row>
    <row r="303" spans="1:10" ht="15.6" x14ac:dyDescent="0.3">
      <c r="A303" s="45" t="s">
        <v>40</v>
      </c>
      <c r="B303" s="14" t="s">
        <v>107</v>
      </c>
      <c r="C303" s="15">
        <v>4969.38</v>
      </c>
      <c r="D303" s="46">
        <v>3.1159999999999998E-3</v>
      </c>
      <c r="E303" s="36"/>
    </row>
    <row r="304" spans="1:10" ht="15.6" x14ac:dyDescent="0.3">
      <c r="A304" s="45" t="s">
        <v>43</v>
      </c>
      <c r="B304" s="14" t="s">
        <v>107</v>
      </c>
      <c r="C304" s="15">
        <v>4916.4799999999996</v>
      </c>
      <c r="D304" s="46">
        <v>3.0830000000000002E-3</v>
      </c>
      <c r="E304" s="36"/>
    </row>
    <row r="305" spans="1:5" ht="15.6" x14ac:dyDescent="0.3">
      <c r="A305" s="45" t="s">
        <v>32</v>
      </c>
      <c r="B305" s="14" t="s">
        <v>107</v>
      </c>
      <c r="C305" s="15">
        <v>4087.6</v>
      </c>
      <c r="D305" s="46">
        <v>2.5629999999999997E-3</v>
      </c>
      <c r="E305" s="36"/>
    </row>
    <row r="306" spans="1:5" ht="15.6" x14ac:dyDescent="0.3">
      <c r="A306" s="45" t="s">
        <v>46</v>
      </c>
      <c r="B306" s="14" t="s">
        <v>107</v>
      </c>
      <c r="C306" s="15">
        <v>3688.92</v>
      </c>
      <c r="D306" s="46">
        <v>2.313E-3</v>
      </c>
      <c r="E306" s="36"/>
    </row>
    <row r="307" spans="1:5" ht="15.6" x14ac:dyDescent="0.3">
      <c r="A307" s="45" t="s">
        <v>33</v>
      </c>
      <c r="B307" s="14" t="s">
        <v>107</v>
      </c>
      <c r="C307" s="15">
        <v>3622.34</v>
      </c>
      <c r="D307" s="46">
        <v>2.2720000000000001E-3</v>
      </c>
      <c r="E307" s="36"/>
    </row>
    <row r="308" spans="1:5" ht="15.6" x14ac:dyDescent="0.3">
      <c r="A308" s="45" t="s">
        <v>30</v>
      </c>
      <c r="B308" s="14" t="s">
        <v>107</v>
      </c>
      <c r="C308" s="15">
        <v>3175.75</v>
      </c>
      <c r="D308" s="46">
        <v>1.9919999999999998E-3</v>
      </c>
      <c r="E308" s="36"/>
    </row>
    <row r="309" spans="1:5" ht="15.6" x14ac:dyDescent="0.3">
      <c r="A309" s="45" t="s">
        <v>39</v>
      </c>
      <c r="B309" s="14" t="s">
        <v>107</v>
      </c>
      <c r="C309" s="15">
        <v>2747.97</v>
      </c>
      <c r="D309" s="46">
        <v>1.7230000000000001E-3</v>
      </c>
      <c r="E309" s="36"/>
    </row>
    <row r="310" spans="1:5" ht="15.6" x14ac:dyDescent="0.3">
      <c r="A310" s="45" t="s">
        <v>90</v>
      </c>
      <c r="B310" s="14" t="s">
        <v>107</v>
      </c>
      <c r="C310" s="15">
        <v>2606.11</v>
      </c>
      <c r="D310" s="46">
        <v>1.6339999999999998E-3</v>
      </c>
      <c r="E310" s="36"/>
    </row>
    <row r="311" spans="1:5" ht="15.6" x14ac:dyDescent="0.3">
      <c r="A311" s="45" t="s">
        <v>61</v>
      </c>
      <c r="B311" s="14" t="s">
        <v>107</v>
      </c>
      <c r="C311" s="15">
        <v>2595.3000000000002</v>
      </c>
      <c r="D311" s="46">
        <v>1.6280000000000001E-3</v>
      </c>
      <c r="E311" s="36"/>
    </row>
    <row r="312" spans="1:5" ht="15.6" x14ac:dyDescent="0.3">
      <c r="A312" s="45" t="s">
        <v>42</v>
      </c>
      <c r="B312" s="14" t="s">
        <v>107</v>
      </c>
      <c r="C312" s="15">
        <v>2500.61</v>
      </c>
      <c r="D312" s="46">
        <v>1.5679999999999999E-3</v>
      </c>
      <c r="E312" s="36"/>
    </row>
    <row r="313" spans="1:5" ht="15.6" x14ac:dyDescent="0.3">
      <c r="A313" s="45" t="s">
        <v>45</v>
      </c>
      <c r="B313" s="14" t="s">
        <v>107</v>
      </c>
      <c r="C313" s="15">
        <v>1965.07</v>
      </c>
      <c r="D313" s="46">
        <v>1.232E-3</v>
      </c>
      <c r="E313" s="36"/>
    </row>
    <row r="314" spans="1:5" ht="15.6" x14ac:dyDescent="0.3">
      <c r="A314" s="45" t="s">
        <v>67</v>
      </c>
      <c r="B314" s="14" t="s">
        <v>107</v>
      </c>
      <c r="C314" s="15">
        <v>1823.12</v>
      </c>
      <c r="D314" s="46">
        <v>1.1429999999999999E-3</v>
      </c>
      <c r="E314" s="36"/>
    </row>
    <row r="315" spans="1:5" ht="15.6" x14ac:dyDescent="0.3">
      <c r="A315" s="45" t="s">
        <v>35</v>
      </c>
      <c r="B315" s="14" t="s">
        <v>107</v>
      </c>
      <c r="C315" s="15">
        <v>1790.96</v>
      </c>
      <c r="D315" s="46">
        <v>1.1229999999999999E-3</v>
      </c>
      <c r="E315" s="36"/>
    </row>
    <row r="316" spans="1:5" ht="15.6" x14ac:dyDescent="0.3">
      <c r="A316" s="45" t="s">
        <v>54</v>
      </c>
      <c r="B316" s="14" t="s">
        <v>107</v>
      </c>
      <c r="C316" s="15">
        <v>1601.22</v>
      </c>
      <c r="D316" s="46">
        <v>1.0040000000000001E-3</v>
      </c>
      <c r="E316" s="36"/>
    </row>
    <row r="317" spans="1:5" ht="15.6" x14ac:dyDescent="0.3">
      <c r="A317" s="45" t="s">
        <v>47</v>
      </c>
      <c r="B317" s="14" t="s">
        <v>107</v>
      </c>
      <c r="C317" s="15">
        <v>1515.93</v>
      </c>
      <c r="D317" s="46">
        <v>9.5100000000000002E-4</v>
      </c>
      <c r="E317" s="36"/>
    </row>
    <row r="318" spans="1:5" ht="15.6" x14ac:dyDescent="0.3">
      <c r="A318" s="45" t="s">
        <v>37</v>
      </c>
      <c r="B318" s="14" t="s">
        <v>107</v>
      </c>
      <c r="C318" s="15">
        <v>1370.83</v>
      </c>
      <c r="D318" s="46">
        <v>8.5999999999999998E-4</v>
      </c>
      <c r="E318" s="36"/>
    </row>
    <row r="319" spans="1:5" ht="15.6" x14ac:dyDescent="0.3">
      <c r="A319" s="45" t="s">
        <v>25</v>
      </c>
      <c r="B319" s="14" t="s">
        <v>107</v>
      </c>
      <c r="C319" s="15">
        <v>1117.02</v>
      </c>
      <c r="D319" s="46">
        <v>7.0099999999999991E-4</v>
      </c>
      <c r="E319" s="36"/>
    </row>
    <row r="320" spans="1:5" ht="15.6" x14ac:dyDescent="0.3">
      <c r="A320" s="45" t="s">
        <v>53</v>
      </c>
      <c r="B320" s="14" t="s">
        <v>107</v>
      </c>
      <c r="C320" s="15">
        <v>1105.58</v>
      </c>
      <c r="D320" s="46">
        <v>6.9300000000000004E-4</v>
      </c>
      <c r="E320" s="36"/>
    </row>
    <row r="321" spans="1:5" ht="15.6" x14ac:dyDescent="0.3">
      <c r="A321" s="45" t="s">
        <v>63</v>
      </c>
      <c r="B321" s="14" t="s">
        <v>107</v>
      </c>
      <c r="C321" s="15">
        <v>1041.01</v>
      </c>
      <c r="D321" s="46">
        <v>6.5299999999999993E-4</v>
      </c>
      <c r="E321" s="36"/>
    </row>
    <row r="322" spans="1:5" ht="15.6" x14ac:dyDescent="0.3">
      <c r="A322" s="45" t="s">
        <v>64</v>
      </c>
      <c r="B322" s="14" t="s">
        <v>107</v>
      </c>
      <c r="C322" s="15">
        <v>968.56</v>
      </c>
      <c r="D322" s="46">
        <v>6.0700000000000001E-4</v>
      </c>
      <c r="E322" s="36"/>
    </row>
    <row r="323" spans="1:5" ht="15.6" x14ac:dyDescent="0.3">
      <c r="A323" s="45" t="s">
        <v>27</v>
      </c>
      <c r="B323" s="14" t="s">
        <v>107</v>
      </c>
      <c r="C323" s="15">
        <v>952.83</v>
      </c>
      <c r="D323" s="46">
        <v>5.9800000000000001E-4</v>
      </c>
      <c r="E323" s="36"/>
    </row>
    <row r="324" spans="1:5" ht="15.6" x14ac:dyDescent="0.3">
      <c r="A324" s="45" t="s">
        <v>51</v>
      </c>
      <c r="B324" s="14" t="s">
        <v>107</v>
      </c>
      <c r="C324" s="15">
        <v>781.83</v>
      </c>
      <c r="D324" s="46">
        <v>4.8999999999999998E-4</v>
      </c>
      <c r="E324" s="36"/>
    </row>
    <row r="325" spans="1:5" ht="15.6" x14ac:dyDescent="0.3">
      <c r="A325" s="45" t="s">
        <v>58</v>
      </c>
      <c r="B325" s="14" t="s">
        <v>107</v>
      </c>
      <c r="C325" s="15">
        <v>776.26</v>
      </c>
      <c r="D325" s="46">
        <v>4.8700000000000002E-4</v>
      </c>
      <c r="E325" s="36"/>
    </row>
    <row r="326" spans="1:5" ht="15.6" x14ac:dyDescent="0.3">
      <c r="A326" s="45" t="s">
        <v>95</v>
      </c>
      <c r="B326" s="14" t="s">
        <v>107</v>
      </c>
      <c r="C326" s="15">
        <v>760.26</v>
      </c>
      <c r="D326" s="46">
        <v>4.7699999999999999E-4</v>
      </c>
      <c r="E326" s="36"/>
    </row>
    <row r="327" spans="1:5" ht="15.6" x14ac:dyDescent="0.3">
      <c r="A327" s="45" t="s">
        <v>44</v>
      </c>
      <c r="B327" s="14" t="s">
        <v>107</v>
      </c>
      <c r="C327" s="15">
        <v>760.05</v>
      </c>
      <c r="D327" s="46">
        <v>4.7699999999999999E-4</v>
      </c>
      <c r="E327" s="36"/>
    </row>
    <row r="328" spans="1:5" ht="15.6" x14ac:dyDescent="0.3">
      <c r="A328" s="45" t="s">
        <v>65</v>
      </c>
      <c r="B328" s="14" t="s">
        <v>107</v>
      </c>
      <c r="C328" s="15">
        <v>690.57</v>
      </c>
      <c r="D328" s="46">
        <v>4.3300000000000001E-4</v>
      </c>
      <c r="E328" s="36"/>
    </row>
    <row r="329" spans="1:5" ht="15.6" x14ac:dyDescent="0.3">
      <c r="A329" s="45" t="s">
        <v>68</v>
      </c>
      <c r="B329" s="14" t="s">
        <v>107</v>
      </c>
      <c r="C329" s="15">
        <v>665.41</v>
      </c>
      <c r="D329" s="46">
        <v>4.17E-4</v>
      </c>
      <c r="E329" s="36"/>
    </row>
    <row r="330" spans="1:5" ht="15.6" x14ac:dyDescent="0.3">
      <c r="A330" s="45" t="s">
        <v>50</v>
      </c>
      <c r="B330" s="14" t="s">
        <v>107</v>
      </c>
      <c r="C330" s="15">
        <v>599.82000000000005</v>
      </c>
      <c r="D330" s="46">
        <v>3.7600000000000003E-4</v>
      </c>
      <c r="E330" s="36"/>
    </row>
    <row r="331" spans="1:5" ht="15.6" x14ac:dyDescent="0.3">
      <c r="A331" s="45" t="s">
        <v>145</v>
      </c>
      <c r="B331" s="14" t="s">
        <v>107</v>
      </c>
      <c r="C331" s="15">
        <v>535.79999999999995</v>
      </c>
      <c r="D331" s="46">
        <v>3.3599999999999998E-4</v>
      </c>
      <c r="E331" s="36"/>
    </row>
    <row r="332" spans="1:5" ht="15.6" x14ac:dyDescent="0.3">
      <c r="A332" s="45" t="s">
        <v>55</v>
      </c>
      <c r="B332" s="14" t="s">
        <v>107</v>
      </c>
      <c r="C332" s="15">
        <v>533.29</v>
      </c>
      <c r="D332" s="46">
        <v>3.3399999999999999E-4</v>
      </c>
      <c r="E332" s="36"/>
    </row>
    <row r="333" spans="1:5" ht="15.6" x14ac:dyDescent="0.3">
      <c r="A333" s="45" t="s">
        <v>49</v>
      </c>
      <c r="B333" s="14" t="s">
        <v>107</v>
      </c>
      <c r="C333" s="15">
        <v>501.96</v>
      </c>
      <c r="D333" s="46">
        <v>3.1500000000000001E-4</v>
      </c>
      <c r="E333" s="36"/>
    </row>
    <row r="334" spans="1:5" ht="15.6" x14ac:dyDescent="0.3">
      <c r="A334" s="45" t="s">
        <v>34</v>
      </c>
      <c r="B334" s="14" t="s">
        <v>107</v>
      </c>
      <c r="C334" s="15">
        <v>488.87</v>
      </c>
      <c r="D334" s="46">
        <v>3.0700000000000004E-4</v>
      </c>
      <c r="E334" s="36"/>
    </row>
    <row r="335" spans="1:5" ht="15.6" x14ac:dyDescent="0.3">
      <c r="A335" s="45" t="s">
        <v>28</v>
      </c>
      <c r="B335" s="14" t="s">
        <v>107</v>
      </c>
      <c r="C335" s="15">
        <v>463.29</v>
      </c>
      <c r="D335" s="46">
        <v>2.9100000000000003E-4</v>
      </c>
      <c r="E335" s="36"/>
    </row>
    <row r="336" spans="1:5" ht="15.6" x14ac:dyDescent="0.3">
      <c r="A336" s="45" t="s">
        <v>62</v>
      </c>
      <c r="B336" s="14" t="s">
        <v>107</v>
      </c>
      <c r="C336" s="15">
        <v>455.86</v>
      </c>
      <c r="D336" s="46">
        <v>2.8600000000000001E-4</v>
      </c>
      <c r="E336" s="36"/>
    </row>
    <row r="337" spans="1:5" ht="15.6" x14ac:dyDescent="0.3">
      <c r="A337" s="45" t="s">
        <v>146</v>
      </c>
      <c r="B337" s="14" t="s">
        <v>107</v>
      </c>
      <c r="C337" s="15">
        <v>435.4</v>
      </c>
      <c r="D337" s="46">
        <v>2.7300000000000002E-4</v>
      </c>
      <c r="E337" s="36"/>
    </row>
    <row r="338" spans="1:5" ht="15.6" x14ac:dyDescent="0.3">
      <c r="A338" s="45" t="s">
        <v>52</v>
      </c>
      <c r="B338" s="14" t="s">
        <v>107</v>
      </c>
      <c r="C338" s="15">
        <v>414.94</v>
      </c>
      <c r="D338" s="46">
        <v>2.5999999999999998E-4</v>
      </c>
      <c r="E338" s="36"/>
    </row>
    <row r="339" spans="1:5" ht="15.6" x14ac:dyDescent="0.3">
      <c r="A339" s="45" t="s">
        <v>60</v>
      </c>
      <c r="B339" s="14" t="s">
        <v>107</v>
      </c>
      <c r="C339" s="15">
        <v>405.56</v>
      </c>
      <c r="D339" s="46">
        <v>2.5399999999999999E-4</v>
      </c>
      <c r="E339" s="36"/>
    </row>
    <row r="340" spans="1:5" ht="15.6" x14ac:dyDescent="0.3">
      <c r="A340" s="45" t="s">
        <v>84</v>
      </c>
      <c r="B340" s="14" t="s">
        <v>107</v>
      </c>
      <c r="C340" s="15">
        <v>333.66</v>
      </c>
      <c r="D340" s="46">
        <v>2.0899999999999998E-4</v>
      </c>
      <c r="E340" s="36"/>
    </row>
    <row r="341" spans="1:5" ht="15.6" x14ac:dyDescent="0.3">
      <c r="A341" s="45" t="s">
        <v>96</v>
      </c>
      <c r="B341" s="14" t="s">
        <v>107</v>
      </c>
      <c r="C341" s="15">
        <v>292.76</v>
      </c>
      <c r="D341" s="46">
        <v>1.84E-4</v>
      </c>
      <c r="E341" s="36"/>
    </row>
    <row r="342" spans="1:5" ht="15.6" x14ac:dyDescent="0.3">
      <c r="A342" s="45" t="s">
        <v>71</v>
      </c>
      <c r="B342" s="14" t="s">
        <v>107</v>
      </c>
      <c r="C342" s="15">
        <v>276.2</v>
      </c>
      <c r="D342" s="46">
        <v>1.73E-4</v>
      </c>
      <c r="E342" s="36"/>
    </row>
    <row r="343" spans="1:5" ht="15.6" x14ac:dyDescent="0.3">
      <c r="A343" s="45" t="s">
        <v>22</v>
      </c>
      <c r="B343" s="14" t="s">
        <v>107</v>
      </c>
      <c r="C343" s="15">
        <v>250.17</v>
      </c>
      <c r="D343" s="46">
        <v>1.5699999999999999E-4</v>
      </c>
      <c r="E343" s="36"/>
    </row>
    <row r="344" spans="1:5" ht="15.6" x14ac:dyDescent="0.3">
      <c r="A344" s="45" t="s">
        <v>31</v>
      </c>
      <c r="B344" s="14" t="s">
        <v>107</v>
      </c>
      <c r="C344" s="15">
        <v>246.07</v>
      </c>
      <c r="D344" s="46">
        <v>1.54E-4</v>
      </c>
      <c r="E344" s="36"/>
    </row>
    <row r="345" spans="1:5" ht="15.6" x14ac:dyDescent="0.3">
      <c r="A345" s="45" t="s">
        <v>73</v>
      </c>
      <c r="B345" s="14" t="s">
        <v>107</v>
      </c>
      <c r="C345" s="15">
        <v>235.22</v>
      </c>
      <c r="D345" s="46">
        <v>1.4800000000000002E-4</v>
      </c>
      <c r="E345" s="36"/>
    </row>
    <row r="346" spans="1:5" ht="15.6" x14ac:dyDescent="0.3">
      <c r="A346" s="45" t="s">
        <v>83</v>
      </c>
      <c r="B346" s="14" t="s">
        <v>107</v>
      </c>
      <c r="C346" s="15">
        <v>206.37</v>
      </c>
      <c r="D346" s="46">
        <v>1.2899999999999999E-4</v>
      </c>
      <c r="E346" s="36"/>
    </row>
    <row r="347" spans="1:5" ht="15.6" x14ac:dyDescent="0.3">
      <c r="A347" s="45" t="s">
        <v>80</v>
      </c>
      <c r="B347" s="14" t="s">
        <v>107</v>
      </c>
      <c r="C347" s="15">
        <v>187.91</v>
      </c>
      <c r="D347" s="46">
        <v>1.18E-4</v>
      </c>
      <c r="E347" s="36"/>
    </row>
    <row r="348" spans="1:5" ht="15.6" x14ac:dyDescent="0.3">
      <c r="A348" s="45" t="s">
        <v>37</v>
      </c>
      <c r="B348" s="14" t="s">
        <v>107</v>
      </c>
      <c r="C348" s="15">
        <v>166.08</v>
      </c>
      <c r="D348" s="46">
        <v>1.0399999999999999E-4</v>
      </c>
      <c r="E348" s="36"/>
    </row>
    <row r="349" spans="1:5" ht="15.6" x14ac:dyDescent="0.3">
      <c r="A349" s="45" t="s">
        <v>66</v>
      </c>
      <c r="B349" s="14" t="s">
        <v>107</v>
      </c>
      <c r="C349" s="15">
        <v>143.41999999999999</v>
      </c>
      <c r="D349" s="46">
        <v>8.9999999999999992E-5</v>
      </c>
      <c r="E349" s="36"/>
    </row>
    <row r="350" spans="1:5" ht="15.6" x14ac:dyDescent="0.3">
      <c r="A350" s="45" t="s">
        <v>93</v>
      </c>
      <c r="B350" s="14" t="s">
        <v>107</v>
      </c>
      <c r="C350" s="15">
        <v>119.7</v>
      </c>
      <c r="D350" s="46">
        <v>7.4999999999999993E-5</v>
      </c>
      <c r="E350" s="36"/>
    </row>
    <row r="351" spans="1:5" ht="15.6" x14ac:dyDescent="0.3">
      <c r="A351" s="45" t="s">
        <v>97</v>
      </c>
      <c r="B351" s="14" t="s">
        <v>107</v>
      </c>
      <c r="C351" s="15">
        <v>94.45</v>
      </c>
      <c r="D351" s="46">
        <v>5.8999999999999998E-5</v>
      </c>
      <c r="E351" s="36"/>
    </row>
    <row r="352" spans="1:5" ht="15.6" x14ac:dyDescent="0.3">
      <c r="A352" s="45" t="s">
        <v>88</v>
      </c>
      <c r="B352" s="14" t="s">
        <v>107</v>
      </c>
      <c r="C352" s="15">
        <v>61.02</v>
      </c>
      <c r="D352" s="46">
        <v>3.8000000000000002E-5</v>
      </c>
      <c r="E352" s="36"/>
    </row>
    <row r="353" spans="1:5" ht="15.6" x14ac:dyDescent="0.3">
      <c r="A353" s="45" t="s">
        <v>81</v>
      </c>
      <c r="B353" s="14" t="s">
        <v>107</v>
      </c>
      <c r="C353" s="15">
        <v>56.46</v>
      </c>
      <c r="D353" s="46">
        <v>3.5000000000000004E-5</v>
      </c>
      <c r="E353" s="36"/>
    </row>
    <row r="354" spans="1:5" ht="15.6" x14ac:dyDescent="0.3">
      <c r="A354" s="45" t="s">
        <v>82</v>
      </c>
      <c r="B354" s="14" t="s">
        <v>107</v>
      </c>
      <c r="C354" s="15">
        <v>43.56</v>
      </c>
      <c r="D354" s="46">
        <v>2.7000000000000002E-5</v>
      </c>
      <c r="E354" s="36"/>
    </row>
    <row r="355" spans="1:5" ht="15.6" x14ac:dyDescent="0.3">
      <c r="A355" s="45" t="s">
        <v>59</v>
      </c>
      <c r="B355" s="14" t="s">
        <v>107</v>
      </c>
      <c r="C355" s="15">
        <v>25.3</v>
      </c>
      <c r="D355" s="46">
        <v>1.5999999999999999E-5</v>
      </c>
      <c r="E355" s="36"/>
    </row>
    <row r="356" spans="1:5" ht="15.6" x14ac:dyDescent="0.3">
      <c r="A356" s="45" t="s">
        <v>135</v>
      </c>
      <c r="B356" s="14" t="s">
        <v>107</v>
      </c>
      <c r="C356" s="15">
        <v>25.28</v>
      </c>
      <c r="D356" s="46">
        <v>1.5999999999999999E-5</v>
      </c>
      <c r="E356" s="36"/>
    </row>
    <row r="357" spans="1:5" ht="15.6" x14ac:dyDescent="0.3">
      <c r="A357" s="45" t="s">
        <v>72</v>
      </c>
      <c r="B357" s="14" t="s">
        <v>107</v>
      </c>
      <c r="C357" s="15">
        <v>24.7</v>
      </c>
      <c r="D357" s="46">
        <v>1.5E-5</v>
      </c>
      <c r="E357" s="36"/>
    </row>
    <row r="358" spans="1:5" ht="15.6" x14ac:dyDescent="0.3">
      <c r="A358" s="45" t="s">
        <v>56</v>
      </c>
      <c r="B358" s="14" t="s">
        <v>107</v>
      </c>
      <c r="C358" s="15">
        <v>19.98</v>
      </c>
      <c r="D358" s="46">
        <v>1.2999999999999999E-5</v>
      </c>
      <c r="E358" s="36"/>
    </row>
    <row r="359" spans="1:5" ht="15.6" x14ac:dyDescent="0.3">
      <c r="A359" s="45" t="s">
        <v>77</v>
      </c>
      <c r="B359" s="14" t="s">
        <v>107</v>
      </c>
      <c r="C359" s="15">
        <v>17.68</v>
      </c>
      <c r="D359" s="46">
        <v>1.1000000000000001E-5</v>
      </c>
      <c r="E359" s="36"/>
    </row>
    <row r="360" spans="1:5" ht="15.6" x14ac:dyDescent="0.3">
      <c r="A360" s="45" t="s">
        <v>132</v>
      </c>
      <c r="B360" s="14" t="s">
        <v>107</v>
      </c>
      <c r="C360" s="15">
        <v>12.62</v>
      </c>
      <c r="D360" s="46">
        <v>7.9999999999999996E-6</v>
      </c>
      <c r="E360" s="36"/>
    </row>
    <row r="361" spans="1:5" ht="15.6" x14ac:dyDescent="0.3">
      <c r="A361" s="45" t="s">
        <v>75</v>
      </c>
      <c r="B361" s="14" t="s">
        <v>107</v>
      </c>
      <c r="C361" s="15">
        <v>9.51</v>
      </c>
      <c r="D361" s="46">
        <v>5.9999999999999993E-6</v>
      </c>
      <c r="E361" s="36"/>
    </row>
    <row r="362" spans="1:5" ht="15.6" x14ac:dyDescent="0.3">
      <c r="A362" s="45" t="s">
        <v>100</v>
      </c>
      <c r="B362" s="14" t="s">
        <v>107</v>
      </c>
      <c r="C362" s="15">
        <v>8.8800000000000008</v>
      </c>
      <c r="D362" s="46">
        <v>5.9999999999999993E-6</v>
      </c>
      <c r="E362" s="36"/>
    </row>
    <row r="363" spans="1:5" ht="15.6" x14ac:dyDescent="0.3">
      <c r="A363" s="45" t="s">
        <v>85</v>
      </c>
      <c r="B363" s="14" t="s">
        <v>107</v>
      </c>
      <c r="C363" s="15">
        <v>4.38</v>
      </c>
      <c r="D363" s="46">
        <v>2.9999999999999997E-6</v>
      </c>
      <c r="E363" s="36"/>
    </row>
    <row r="364" spans="1:5" ht="15.6" x14ac:dyDescent="0.3">
      <c r="A364" s="45" t="s">
        <v>133</v>
      </c>
      <c r="B364" s="14" t="s">
        <v>107</v>
      </c>
      <c r="C364" s="15">
        <v>3.36</v>
      </c>
      <c r="D364" s="46">
        <v>1.9999999999999999E-6</v>
      </c>
      <c r="E364" s="36"/>
    </row>
    <row r="365" spans="1:5" ht="15.6" x14ac:dyDescent="0.3">
      <c r="A365" s="45" t="s">
        <v>4</v>
      </c>
      <c r="B365" s="14" t="s">
        <v>108</v>
      </c>
      <c r="C365" s="53">
        <v>232744.75</v>
      </c>
      <c r="D365" s="46">
        <v>0.120633</v>
      </c>
      <c r="E365" s="36"/>
    </row>
    <row r="366" spans="1:5" ht="15.6" x14ac:dyDescent="0.3">
      <c r="A366" s="45" t="s">
        <v>2</v>
      </c>
      <c r="B366" s="14" t="s">
        <v>108</v>
      </c>
      <c r="C366" s="53">
        <v>220603.49</v>
      </c>
      <c r="D366" s="46">
        <v>0.11434</v>
      </c>
      <c r="E366" s="36"/>
    </row>
    <row r="367" spans="1:5" ht="15.6" x14ac:dyDescent="0.3">
      <c r="A367" s="45" t="s">
        <v>1</v>
      </c>
      <c r="B367" s="14" t="s">
        <v>108</v>
      </c>
      <c r="C367" s="53">
        <v>209831.35</v>
      </c>
      <c r="D367" s="46">
        <v>0.10875700000000001</v>
      </c>
      <c r="E367" s="36"/>
    </row>
    <row r="368" spans="1:5" ht="15.6" x14ac:dyDescent="0.3">
      <c r="A368" s="45" t="s">
        <v>0</v>
      </c>
      <c r="B368" s="14" t="s">
        <v>108</v>
      </c>
      <c r="C368" s="53">
        <v>184682.27</v>
      </c>
      <c r="D368" s="46">
        <v>9.5722000000000002E-2</v>
      </c>
      <c r="E368" s="36"/>
    </row>
    <row r="369" spans="1:5" ht="15.6" x14ac:dyDescent="0.3">
      <c r="A369" s="45" t="s">
        <v>6</v>
      </c>
      <c r="B369" s="14" t="s">
        <v>108</v>
      </c>
      <c r="C369" s="53">
        <v>178689.55</v>
      </c>
      <c r="D369" s="46">
        <v>9.261599999999999E-2</v>
      </c>
      <c r="E369" s="36"/>
    </row>
    <row r="370" spans="1:5" ht="15.6" x14ac:dyDescent="0.3">
      <c r="A370" s="45" t="s">
        <v>16</v>
      </c>
      <c r="B370" s="14" t="s">
        <v>108</v>
      </c>
      <c r="C370" s="53">
        <v>124362.27</v>
      </c>
      <c r="D370" s="46">
        <v>6.4458000000000001E-2</v>
      </c>
      <c r="E370" s="36"/>
    </row>
    <row r="371" spans="1:5" ht="15.6" x14ac:dyDescent="0.3">
      <c r="A371" s="45" t="s">
        <v>3</v>
      </c>
      <c r="B371" s="14" t="s">
        <v>108</v>
      </c>
      <c r="C371" s="53">
        <v>119077.16</v>
      </c>
      <c r="D371" s="46">
        <v>6.1718000000000002E-2</v>
      </c>
      <c r="E371" s="36"/>
    </row>
    <row r="372" spans="1:5" ht="15.6" x14ac:dyDescent="0.3">
      <c r="A372" s="45" t="s">
        <v>8</v>
      </c>
      <c r="B372" s="14" t="s">
        <v>108</v>
      </c>
      <c r="C372" s="53">
        <v>86358.43</v>
      </c>
      <c r="D372" s="46">
        <v>4.4760000000000001E-2</v>
      </c>
      <c r="E372" s="36"/>
    </row>
    <row r="373" spans="1:5" ht="15.6" x14ac:dyDescent="0.3">
      <c r="A373" s="45" t="s">
        <v>15</v>
      </c>
      <c r="B373" s="14" t="s">
        <v>108</v>
      </c>
      <c r="C373" s="53">
        <v>74945.05</v>
      </c>
      <c r="D373" s="46">
        <v>3.8843999999999997E-2</v>
      </c>
      <c r="E373" s="36"/>
    </row>
    <row r="374" spans="1:5" ht="15.6" x14ac:dyDescent="0.3">
      <c r="A374" s="45" t="s">
        <v>10</v>
      </c>
      <c r="B374" s="14" t="s">
        <v>108</v>
      </c>
      <c r="C374" s="53">
        <v>55813.3</v>
      </c>
      <c r="D374" s="46">
        <v>2.8927999999999999E-2</v>
      </c>
      <c r="E374" s="36"/>
    </row>
    <row r="375" spans="1:5" ht="15.6" x14ac:dyDescent="0.3">
      <c r="A375" s="45" t="s">
        <v>12</v>
      </c>
      <c r="B375" s="14" t="s">
        <v>108</v>
      </c>
      <c r="C375" s="53">
        <v>52743.23</v>
      </c>
      <c r="D375" s="46">
        <v>2.7336999999999997E-2</v>
      </c>
      <c r="E375" s="36"/>
    </row>
    <row r="376" spans="1:5" ht="15.6" x14ac:dyDescent="0.3">
      <c r="A376" s="45" t="s">
        <v>146</v>
      </c>
      <c r="B376" s="14" t="s">
        <v>108</v>
      </c>
      <c r="C376" s="53">
        <v>45041.21</v>
      </c>
      <c r="D376" s="46">
        <v>2.3344999999999998E-2</v>
      </c>
      <c r="E376" s="36"/>
    </row>
    <row r="377" spans="1:5" ht="15.6" x14ac:dyDescent="0.3">
      <c r="A377" s="45" t="s">
        <v>14</v>
      </c>
      <c r="B377" s="14" t="s">
        <v>108</v>
      </c>
      <c r="C377" s="53">
        <v>38091.870000000003</v>
      </c>
      <c r="D377" s="46">
        <v>1.9743E-2</v>
      </c>
      <c r="E377" s="36"/>
    </row>
    <row r="378" spans="1:5" ht="15.6" x14ac:dyDescent="0.3">
      <c r="A378" s="45" t="s">
        <v>9</v>
      </c>
      <c r="B378" s="14" t="s">
        <v>108</v>
      </c>
      <c r="C378" s="53">
        <v>37044.47</v>
      </c>
      <c r="D378" s="46">
        <v>1.9199999999999998E-2</v>
      </c>
      <c r="E378" s="36"/>
    </row>
    <row r="379" spans="1:5" ht="15.6" x14ac:dyDescent="0.3">
      <c r="A379" s="45" t="s">
        <v>11</v>
      </c>
      <c r="B379" s="14" t="s">
        <v>108</v>
      </c>
      <c r="C379" s="53">
        <v>36020.699999999997</v>
      </c>
      <c r="D379" s="46">
        <v>1.8669999999999999E-2</v>
      </c>
      <c r="E379" s="36"/>
    </row>
    <row r="380" spans="1:5" ht="15.6" x14ac:dyDescent="0.3">
      <c r="A380" s="45" t="s">
        <v>20</v>
      </c>
      <c r="B380" s="14" t="s">
        <v>108</v>
      </c>
      <c r="C380" s="53">
        <v>28931.16</v>
      </c>
      <c r="D380" s="46">
        <v>1.4995000000000001E-2</v>
      </c>
      <c r="E380" s="36"/>
    </row>
    <row r="381" spans="1:5" ht="15.6" x14ac:dyDescent="0.3">
      <c r="A381" s="45" t="s">
        <v>7</v>
      </c>
      <c r="B381" s="14" t="s">
        <v>108</v>
      </c>
      <c r="C381" s="53">
        <v>20144.11</v>
      </c>
      <c r="D381" s="46">
        <v>1.0441000000000001E-2</v>
      </c>
      <c r="E381" s="36"/>
    </row>
    <row r="382" spans="1:5" ht="15.6" x14ac:dyDescent="0.3">
      <c r="A382" s="45" t="s">
        <v>13</v>
      </c>
      <c r="B382" s="14" t="s">
        <v>108</v>
      </c>
      <c r="C382" s="53">
        <v>19931.18</v>
      </c>
      <c r="D382" s="46">
        <v>1.0329999999999999E-2</v>
      </c>
      <c r="E382" s="36"/>
    </row>
    <row r="383" spans="1:5" ht="15.6" x14ac:dyDescent="0.3">
      <c r="A383" s="45" t="s">
        <v>21</v>
      </c>
      <c r="B383" s="14" t="s">
        <v>108</v>
      </c>
      <c r="C383" s="53">
        <v>12523.65</v>
      </c>
      <c r="D383" s="46">
        <v>6.4910000000000002E-3</v>
      </c>
      <c r="E383" s="36"/>
    </row>
    <row r="384" spans="1:5" ht="15.6" x14ac:dyDescent="0.3">
      <c r="A384" s="45" t="s">
        <v>130</v>
      </c>
      <c r="B384" s="14" t="s">
        <v>108</v>
      </c>
      <c r="C384" s="53">
        <v>12508.38</v>
      </c>
      <c r="D384" s="46">
        <v>6.483E-3</v>
      </c>
      <c r="E384" s="36"/>
    </row>
    <row r="385" spans="1:5" ht="15.6" x14ac:dyDescent="0.3">
      <c r="A385" s="45" t="s">
        <v>17</v>
      </c>
      <c r="B385" s="14" t="s">
        <v>108</v>
      </c>
      <c r="C385" s="53">
        <v>11546.96</v>
      </c>
      <c r="D385" s="46">
        <v>5.9850000000000007E-3</v>
      </c>
      <c r="E385" s="36"/>
    </row>
    <row r="386" spans="1:5" ht="15.6" x14ac:dyDescent="0.3">
      <c r="A386" s="45" t="s">
        <v>5</v>
      </c>
      <c r="B386" s="14" t="s">
        <v>108</v>
      </c>
      <c r="C386" s="53">
        <v>9884.5400000000009</v>
      </c>
      <c r="D386" s="46">
        <v>5.1229999999999999E-3</v>
      </c>
      <c r="E386" s="36"/>
    </row>
    <row r="387" spans="1:5" ht="15.6" x14ac:dyDescent="0.3">
      <c r="A387" s="45" t="s">
        <v>30</v>
      </c>
      <c r="B387" s="14" t="s">
        <v>108</v>
      </c>
      <c r="C387" s="53">
        <v>7758.47</v>
      </c>
      <c r="D387" s="46">
        <v>4.0210000000000003E-3</v>
      </c>
      <c r="E387" s="36"/>
    </row>
    <row r="388" spans="1:5" ht="15.6" x14ac:dyDescent="0.3">
      <c r="A388" s="45" t="s">
        <v>25</v>
      </c>
      <c r="B388" s="14" t="s">
        <v>108</v>
      </c>
      <c r="C388" s="53">
        <v>7158.24</v>
      </c>
      <c r="D388" s="46">
        <v>3.7099999999999998E-3</v>
      </c>
      <c r="E388" s="36"/>
    </row>
    <row r="389" spans="1:5" ht="15.6" x14ac:dyDescent="0.3">
      <c r="A389" s="45" t="s">
        <v>19</v>
      </c>
      <c r="B389" s="14" t="s">
        <v>108</v>
      </c>
      <c r="C389" s="53">
        <v>7002.63</v>
      </c>
      <c r="D389" s="46">
        <v>3.63E-3</v>
      </c>
      <c r="E389" s="36"/>
    </row>
    <row r="390" spans="1:5" ht="15.6" x14ac:dyDescent="0.3">
      <c r="A390" s="45" t="s">
        <v>24</v>
      </c>
      <c r="B390" s="14" t="s">
        <v>108</v>
      </c>
      <c r="C390" s="53">
        <v>6578.42</v>
      </c>
      <c r="D390" s="46">
        <v>3.4100000000000003E-3</v>
      </c>
      <c r="E390" s="36"/>
    </row>
    <row r="391" spans="1:5" ht="15.6" x14ac:dyDescent="0.3">
      <c r="A391" s="45" t="s">
        <v>42</v>
      </c>
      <c r="B391" s="14" t="s">
        <v>108</v>
      </c>
      <c r="C391" s="53">
        <v>5801</v>
      </c>
      <c r="D391" s="46">
        <v>3.0070000000000001E-3</v>
      </c>
      <c r="E391" s="36"/>
    </row>
    <row r="392" spans="1:5" ht="15.6" x14ac:dyDescent="0.3">
      <c r="A392" s="45" t="s">
        <v>29</v>
      </c>
      <c r="B392" s="14" t="s">
        <v>108</v>
      </c>
      <c r="C392" s="53">
        <v>5730.17</v>
      </c>
      <c r="D392" s="46">
        <v>2.97E-3</v>
      </c>
      <c r="E392" s="36"/>
    </row>
    <row r="393" spans="1:5" ht="15.6" x14ac:dyDescent="0.3">
      <c r="A393" s="45" t="s">
        <v>38</v>
      </c>
      <c r="B393" s="14" t="s">
        <v>108</v>
      </c>
      <c r="C393" s="53">
        <v>5607.62</v>
      </c>
      <c r="D393" s="46">
        <v>2.9060000000000002E-3</v>
      </c>
      <c r="E393" s="36"/>
    </row>
    <row r="394" spans="1:5" ht="15.6" x14ac:dyDescent="0.3">
      <c r="A394" s="45" t="s">
        <v>40</v>
      </c>
      <c r="B394" s="14" t="s">
        <v>108</v>
      </c>
      <c r="C394" s="53">
        <v>5585.97</v>
      </c>
      <c r="D394" s="46">
        <v>2.895E-3</v>
      </c>
      <c r="E394" s="36"/>
    </row>
    <row r="395" spans="1:5" ht="15.6" x14ac:dyDescent="0.3">
      <c r="A395" s="45" t="s">
        <v>32</v>
      </c>
      <c r="B395" s="14" t="s">
        <v>108</v>
      </c>
      <c r="C395" s="53">
        <v>5365.89</v>
      </c>
      <c r="D395" s="46">
        <v>2.7810000000000001E-3</v>
      </c>
      <c r="E395" s="36"/>
    </row>
    <row r="396" spans="1:5" ht="15.6" x14ac:dyDescent="0.3">
      <c r="A396" s="45" t="s">
        <v>74</v>
      </c>
      <c r="B396" s="14" t="s">
        <v>108</v>
      </c>
      <c r="C396" s="53">
        <v>5006.29</v>
      </c>
      <c r="D396" s="46">
        <v>2.5950000000000001E-3</v>
      </c>
      <c r="E396" s="36"/>
    </row>
    <row r="397" spans="1:5" ht="15.6" x14ac:dyDescent="0.3">
      <c r="A397" s="45" t="s">
        <v>95</v>
      </c>
      <c r="B397" s="14" t="s">
        <v>108</v>
      </c>
      <c r="C397" s="53">
        <v>4561.5600000000004</v>
      </c>
      <c r="D397" s="46">
        <v>2.3639999999999998E-3</v>
      </c>
      <c r="E397" s="36"/>
    </row>
    <row r="398" spans="1:5" ht="15.6" x14ac:dyDescent="0.3">
      <c r="A398" s="45" t="s">
        <v>26</v>
      </c>
      <c r="B398" s="14" t="s">
        <v>108</v>
      </c>
      <c r="C398" s="53">
        <v>4033.17</v>
      </c>
      <c r="D398" s="46">
        <v>2.0899999999999998E-3</v>
      </c>
      <c r="E398" s="36"/>
    </row>
    <row r="399" spans="1:5" ht="15.6" x14ac:dyDescent="0.3">
      <c r="A399" s="45" t="s">
        <v>39</v>
      </c>
      <c r="B399" s="14" t="s">
        <v>108</v>
      </c>
      <c r="C399" s="53">
        <v>3585.14</v>
      </c>
      <c r="D399" s="46">
        <v>1.8579999999999998E-3</v>
      </c>
      <c r="E399" s="36"/>
    </row>
    <row r="400" spans="1:5" ht="15.6" x14ac:dyDescent="0.3">
      <c r="A400" s="45" t="s">
        <v>145</v>
      </c>
      <c r="B400" s="14" t="s">
        <v>108</v>
      </c>
      <c r="C400" s="53">
        <v>3466.32</v>
      </c>
      <c r="D400" s="46">
        <v>1.797E-3</v>
      </c>
      <c r="E400" s="36"/>
    </row>
    <row r="401" spans="1:5" ht="15.6" x14ac:dyDescent="0.3">
      <c r="A401" s="45" t="s">
        <v>27</v>
      </c>
      <c r="B401" s="14" t="s">
        <v>108</v>
      </c>
      <c r="C401" s="53">
        <v>3392</v>
      </c>
      <c r="D401" s="46">
        <v>1.758E-3</v>
      </c>
      <c r="E401" s="36"/>
    </row>
    <row r="402" spans="1:5" ht="15.6" x14ac:dyDescent="0.3">
      <c r="A402" s="45" t="s">
        <v>23</v>
      </c>
      <c r="B402" s="14" t="s">
        <v>108</v>
      </c>
      <c r="C402" s="53">
        <v>3203.39</v>
      </c>
      <c r="D402" s="46">
        <v>1.66E-3</v>
      </c>
      <c r="E402" s="36"/>
    </row>
    <row r="403" spans="1:5" ht="15.6" x14ac:dyDescent="0.3">
      <c r="A403" s="45" t="s">
        <v>41</v>
      </c>
      <c r="B403" s="14" t="s">
        <v>108</v>
      </c>
      <c r="C403" s="53">
        <v>2953.34</v>
      </c>
      <c r="D403" s="46">
        <v>1.5310000000000002E-3</v>
      </c>
      <c r="E403" s="36"/>
    </row>
    <row r="404" spans="1:5" ht="15.6" x14ac:dyDescent="0.3">
      <c r="A404" s="45" t="s">
        <v>46</v>
      </c>
      <c r="B404" s="14" t="s">
        <v>108</v>
      </c>
      <c r="C404" s="53">
        <v>2560.0500000000002</v>
      </c>
      <c r="D404" s="46">
        <v>1.3270000000000001E-3</v>
      </c>
      <c r="E404" s="36"/>
    </row>
    <row r="405" spans="1:5" ht="15.6" x14ac:dyDescent="0.3">
      <c r="A405" s="45" t="s">
        <v>33</v>
      </c>
      <c r="B405" s="14" t="s">
        <v>108</v>
      </c>
      <c r="C405" s="53">
        <v>2519.06</v>
      </c>
      <c r="D405" s="46">
        <v>1.3059999999999999E-3</v>
      </c>
      <c r="E405" s="36"/>
    </row>
    <row r="406" spans="1:5" ht="15.6" x14ac:dyDescent="0.3">
      <c r="A406" s="45" t="s">
        <v>51</v>
      </c>
      <c r="B406" s="14" t="s">
        <v>108</v>
      </c>
      <c r="C406" s="53">
        <v>2422.14</v>
      </c>
      <c r="D406" s="46">
        <v>1.255E-3</v>
      </c>
      <c r="E406" s="36"/>
    </row>
    <row r="407" spans="1:5" ht="15.6" x14ac:dyDescent="0.3">
      <c r="A407" s="45" t="s">
        <v>63</v>
      </c>
      <c r="B407" s="14" t="s">
        <v>108</v>
      </c>
      <c r="C407" s="53">
        <v>2203.81</v>
      </c>
      <c r="D407" s="46">
        <v>1.142E-3</v>
      </c>
      <c r="E407" s="36"/>
    </row>
    <row r="408" spans="1:5" ht="15.6" x14ac:dyDescent="0.3">
      <c r="A408" s="45" t="s">
        <v>45</v>
      </c>
      <c r="B408" s="14" t="s">
        <v>108</v>
      </c>
      <c r="C408" s="53">
        <v>1659.46</v>
      </c>
      <c r="D408" s="46">
        <v>8.5999999999999998E-4</v>
      </c>
      <c r="E408" s="36"/>
    </row>
    <row r="409" spans="1:5" ht="15.6" x14ac:dyDescent="0.3">
      <c r="A409" s="45" t="s">
        <v>54</v>
      </c>
      <c r="B409" s="14" t="s">
        <v>108</v>
      </c>
      <c r="C409" s="53">
        <v>1653.77</v>
      </c>
      <c r="D409" s="46">
        <v>8.5700000000000001E-4</v>
      </c>
      <c r="E409" s="36"/>
    </row>
    <row r="410" spans="1:5" ht="15.6" x14ac:dyDescent="0.3">
      <c r="A410" s="45" t="s">
        <v>43</v>
      </c>
      <c r="B410" s="14" t="s">
        <v>108</v>
      </c>
      <c r="C410" s="53">
        <v>1379.33</v>
      </c>
      <c r="D410" s="46">
        <v>7.1499999999999992E-4</v>
      </c>
      <c r="E410" s="36"/>
    </row>
    <row r="411" spans="1:5" ht="15.6" x14ac:dyDescent="0.3">
      <c r="A411" s="45" t="s">
        <v>47</v>
      </c>
      <c r="B411" s="14" t="s">
        <v>108</v>
      </c>
      <c r="C411" s="53">
        <v>1376.17</v>
      </c>
      <c r="D411" s="46">
        <v>7.1299999999999998E-4</v>
      </c>
      <c r="E411" s="36"/>
    </row>
    <row r="412" spans="1:5" ht="15.6" x14ac:dyDescent="0.3">
      <c r="A412" s="45" t="s">
        <v>35</v>
      </c>
      <c r="B412" s="14" t="s">
        <v>108</v>
      </c>
      <c r="C412" s="53">
        <v>1042.27</v>
      </c>
      <c r="D412" s="46">
        <v>5.4000000000000001E-4</v>
      </c>
      <c r="E412" s="36"/>
    </row>
    <row r="413" spans="1:5" ht="15.6" x14ac:dyDescent="0.3">
      <c r="A413" s="45" t="s">
        <v>37</v>
      </c>
      <c r="B413" s="14" t="s">
        <v>108</v>
      </c>
      <c r="C413" s="53">
        <v>953.75</v>
      </c>
      <c r="D413" s="46">
        <v>4.9399999999999997E-4</v>
      </c>
      <c r="E413" s="36"/>
    </row>
    <row r="414" spans="1:5" ht="15.6" x14ac:dyDescent="0.3">
      <c r="A414" s="45" t="s">
        <v>49</v>
      </c>
      <c r="B414" s="14" t="s">
        <v>108</v>
      </c>
      <c r="C414" s="53">
        <v>884.32</v>
      </c>
      <c r="D414" s="46">
        <v>4.5800000000000002E-4</v>
      </c>
      <c r="E414" s="36"/>
    </row>
    <row r="415" spans="1:5" ht="15.6" x14ac:dyDescent="0.3">
      <c r="A415" s="45" t="s">
        <v>28</v>
      </c>
      <c r="B415" s="14" t="s">
        <v>108</v>
      </c>
      <c r="C415" s="53">
        <v>867.74</v>
      </c>
      <c r="D415" s="46">
        <v>4.4999999999999999E-4</v>
      </c>
      <c r="E415" s="36"/>
    </row>
    <row r="416" spans="1:5" ht="15.6" x14ac:dyDescent="0.3">
      <c r="A416" s="45" t="s">
        <v>61</v>
      </c>
      <c r="B416" s="14" t="s">
        <v>108</v>
      </c>
      <c r="C416" s="53">
        <v>835.12</v>
      </c>
      <c r="D416" s="46">
        <v>4.3300000000000001E-4</v>
      </c>
      <c r="E416" s="36"/>
    </row>
    <row r="417" spans="1:5" ht="15.6" x14ac:dyDescent="0.3">
      <c r="A417" s="45" t="s">
        <v>64</v>
      </c>
      <c r="B417" s="14" t="s">
        <v>108</v>
      </c>
      <c r="C417" s="53">
        <v>761.5</v>
      </c>
      <c r="D417" s="46">
        <v>3.9500000000000001E-4</v>
      </c>
      <c r="E417" s="36"/>
    </row>
    <row r="418" spans="1:5" ht="15.6" x14ac:dyDescent="0.3">
      <c r="A418" s="45" t="s">
        <v>67</v>
      </c>
      <c r="B418" s="14" t="s">
        <v>108</v>
      </c>
      <c r="C418" s="53">
        <v>737.13</v>
      </c>
      <c r="D418" s="46">
        <v>3.8199999999999996E-4</v>
      </c>
      <c r="E418" s="36"/>
    </row>
    <row r="419" spans="1:5" ht="15.6" x14ac:dyDescent="0.3">
      <c r="A419" s="45" t="s">
        <v>50</v>
      </c>
      <c r="B419" s="14" t="s">
        <v>108</v>
      </c>
      <c r="C419" s="53">
        <v>713.83</v>
      </c>
      <c r="D419" s="46">
        <v>3.6999999999999999E-4</v>
      </c>
      <c r="E419" s="36"/>
    </row>
    <row r="420" spans="1:5" ht="15.6" x14ac:dyDescent="0.3">
      <c r="A420" s="45" t="s">
        <v>62</v>
      </c>
      <c r="B420" s="14" t="s">
        <v>108</v>
      </c>
      <c r="C420" s="53">
        <v>690.6</v>
      </c>
      <c r="D420" s="46">
        <v>3.5799999999999997E-4</v>
      </c>
      <c r="E420" s="36"/>
    </row>
    <row r="421" spans="1:5" ht="15.6" x14ac:dyDescent="0.3">
      <c r="A421" s="45" t="s">
        <v>56</v>
      </c>
      <c r="B421" s="14" t="s">
        <v>108</v>
      </c>
      <c r="C421" s="53">
        <v>596.54</v>
      </c>
      <c r="D421" s="46">
        <v>3.0900000000000003E-4</v>
      </c>
      <c r="E421" s="36"/>
    </row>
    <row r="422" spans="1:5" ht="15.6" x14ac:dyDescent="0.3">
      <c r="A422" s="45" t="s">
        <v>76</v>
      </c>
      <c r="B422" s="14" t="s">
        <v>108</v>
      </c>
      <c r="C422" s="53">
        <v>568.88</v>
      </c>
      <c r="D422" s="46">
        <v>2.9499999999999996E-4</v>
      </c>
      <c r="E422" s="36"/>
    </row>
    <row r="423" spans="1:5" ht="15.6" x14ac:dyDescent="0.3">
      <c r="A423" s="45" t="s">
        <v>31</v>
      </c>
      <c r="B423" s="14" t="s">
        <v>108</v>
      </c>
      <c r="C423" s="53">
        <v>565.58000000000004</v>
      </c>
      <c r="D423" s="46">
        <v>2.9300000000000002E-4</v>
      </c>
      <c r="E423" s="36"/>
    </row>
    <row r="424" spans="1:5" ht="15.6" x14ac:dyDescent="0.3">
      <c r="A424" s="45" t="s">
        <v>90</v>
      </c>
      <c r="B424" s="14" t="s">
        <v>108</v>
      </c>
      <c r="C424" s="53">
        <v>537.33000000000004</v>
      </c>
      <c r="D424" s="46">
        <v>2.7900000000000001E-4</v>
      </c>
      <c r="E424" s="36"/>
    </row>
    <row r="425" spans="1:5" ht="15.6" x14ac:dyDescent="0.3">
      <c r="A425" s="45" t="s">
        <v>18</v>
      </c>
      <c r="B425" s="14" t="s">
        <v>108</v>
      </c>
      <c r="C425" s="53">
        <v>529.88</v>
      </c>
      <c r="D425" s="46">
        <v>2.7500000000000002E-4</v>
      </c>
      <c r="E425" s="36"/>
    </row>
    <row r="426" spans="1:5" ht="15.6" x14ac:dyDescent="0.3">
      <c r="A426" s="45" t="s">
        <v>149</v>
      </c>
      <c r="B426" s="14" t="s">
        <v>108</v>
      </c>
      <c r="C426" s="53">
        <v>490.5</v>
      </c>
      <c r="D426" s="46">
        <v>2.5399999999999999E-4</v>
      </c>
      <c r="E426" s="36"/>
    </row>
    <row r="427" spans="1:5" ht="15.6" x14ac:dyDescent="0.3">
      <c r="A427" s="45" t="s">
        <v>60</v>
      </c>
      <c r="B427" s="14" t="s">
        <v>108</v>
      </c>
      <c r="C427" s="53">
        <v>442.08</v>
      </c>
      <c r="D427" s="46">
        <v>2.2900000000000001E-4</v>
      </c>
      <c r="E427" s="36"/>
    </row>
    <row r="428" spans="1:5" ht="15.6" x14ac:dyDescent="0.3">
      <c r="A428" s="45" t="s">
        <v>34</v>
      </c>
      <c r="B428" s="14" t="s">
        <v>108</v>
      </c>
      <c r="C428" s="53">
        <v>411.73</v>
      </c>
      <c r="D428" s="46">
        <v>2.13E-4</v>
      </c>
      <c r="E428" s="36"/>
    </row>
    <row r="429" spans="1:5" ht="15.6" x14ac:dyDescent="0.3">
      <c r="A429" s="45" t="s">
        <v>65</v>
      </c>
      <c r="B429" s="14" t="s">
        <v>108</v>
      </c>
      <c r="C429" s="53">
        <v>384.38</v>
      </c>
      <c r="D429" s="46">
        <v>1.9900000000000001E-4</v>
      </c>
      <c r="E429" s="36"/>
    </row>
    <row r="430" spans="1:5" ht="15.6" x14ac:dyDescent="0.3">
      <c r="A430" s="45" t="s">
        <v>55</v>
      </c>
      <c r="B430" s="14" t="s">
        <v>108</v>
      </c>
      <c r="C430" s="53">
        <v>381.85</v>
      </c>
      <c r="D430" s="46">
        <v>1.9800000000000002E-4</v>
      </c>
      <c r="E430" s="36"/>
    </row>
    <row r="431" spans="1:5" ht="15.6" x14ac:dyDescent="0.3">
      <c r="A431" s="45" t="s">
        <v>75</v>
      </c>
      <c r="B431" s="14" t="s">
        <v>108</v>
      </c>
      <c r="C431" s="53">
        <v>294.76</v>
      </c>
      <c r="D431" s="46">
        <v>1.5300000000000001E-4</v>
      </c>
      <c r="E431" s="36"/>
    </row>
    <row r="432" spans="1:5" ht="15.6" x14ac:dyDescent="0.3">
      <c r="A432" s="45" t="s">
        <v>52</v>
      </c>
      <c r="B432" s="14" t="s">
        <v>108</v>
      </c>
      <c r="C432" s="53">
        <v>233.38</v>
      </c>
      <c r="D432" s="46">
        <v>1.21E-4</v>
      </c>
      <c r="E432" s="36"/>
    </row>
    <row r="433" spans="1:5" ht="15.6" x14ac:dyDescent="0.3">
      <c r="A433" s="45" t="s">
        <v>44</v>
      </c>
      <c r="B433" s="14" t="s">
        <v>108</v>
      </c>
      <c r="C433" s="53">
        <v>215.99</v>
      </c>
      <c r="D433" s="46">
        <v>1.12E-4</v>
      </c>
      <c r="E433" s="36"/>
    </row>
    <row r="434" spans="1:5" ht="15.6" x14ac:dyDescent="0.3">
      <c r="A434" s="45" t="s">
        <v>37</v>
      </c>
      <c r="B434" s="14" t="s">
        <v>108</v>
      </c>
      <c r="C434" s="53">
        <v>196.64</v>
      </c>
      <c r="D434" s="46">
        <v>1.0200000000000001E-4</v>
      </c>
      <c r="E434" s="36"/>
    </row>
    <row r="435" spans="1:5" ht="15.6" x14ac:dyDescent="0.3">
      <c r="A435" s="45" t="s">
        <v>53</v>
      </c>
      <c r="B435" s="14" t="s">
        <v>108</v>
      </c>
      <c r="C435" s="53">
        <v>184.85</v>
      </c>
      <c r="D435" s="46">
        <v>9.5999999999999989E-5</v>
      </c>
      <c r="E435" s="36"/>
    </row>
    <row r="436" spans="1:5" ht="15.6" x14ac:dyDescent="0.3">
      <c r="A436" s="45" t="s">
        <v>84</v>
      </c>
      <c r="B436" s="14" t="s">
        <v>108</v>
      </c>
      <c r="C436" s="53">
        <v>184.26</v>
      </c>
      <c r="D436" s="46">
        <v>9.5999999999999989E-5</v>
      </c>
      <c r="E436" s="36"/>
    </row>
    <row r="437" spans="1:5" ht="15.6" x14ac:dyDescent="0.3">
      <c r="A437" s="45" t="s">
        <v>80</v>
      </c>
      <c r="B437" s="14" t="s">
        <v>108</v>
      </c>
      <c r="C437" s="53">
        <v>183</v>
      </c>
      <c r="D437" s="46">
        <v>9.4999999999999992E-5</v>
      </c>
      <c r="E437" s="36"/>
    </row>
    <row r="438" spans="1:5" ht="15.6" x14ac:dyDescent="0.3">
      <c r="A438" s="45" t="s">
        <v>58</v>
      </c>
      <c r="B438" s="14" t="s">
        <v>108</v>
      </c>
      <c r="C438" s="53">
        <v>178.1</v>
      </c>
      <c r="D438" s="46">
        <v>9.2E-5</v>
      </c>
      <c r="E438" s="36"/>
    </row>
    <row r="439" spans="1:5" ht="15.6" x14ac:dyDescent="0.3">
      <c r="A439" s="45" t="s">
        <v>93</v>
      </c>
      <c r="B439" s="14" t="s">
        <v>108</v>
      </c>
      <c r="C439" s="53">
        <v>159.6</v>
      </c>
      <c r="D439" s="46">
        <v>8.2999999999999998E-5</v>
      </c>
      <c r="E439" s="36"/>
    </row>
    <row r="440" spans="1:5" ht="15.6" x14ac:dyDescent="0.3">
      <c r="A440" s="45" t="s">
        <v>96</v>
      </c>
      <c r="B440" s="14" t="s">
        <v>108</v>
      </c>
      <c r="C440" s="53">
        <v>158.85</v>
      </c>
      <c r="D440" s="46">
        <v>8.2000000000000001E-5</v>
      </c>
      <c r="E440" s="36"/>
    </row>
    <row r="441" spans="1:5" ht="15.6" x14ac:dyDescent="0.3">
      <c r="A441" s="45" t="s">
        <v>22</v>
      </c>
      <c r="B441" s="14" t="s">
        <v>108</v>
      </c>
      <c r="C441" s="53">
        <v>149.5</v>
      </c>
      <c r="D441" s="46">
        <v>7.7000000000000001E-5</v>
      </c>
      <c r="E441" s="36"/>
    </row>
    <row r="442" spans="1:5" ht="15.6" x14ac:dyDescent="0.3">
      <c r="A442" s="45" t="s">
        <v>79</v>
      </c>
      <c r="B442" s="14" t="s">
        <v>108</v>
      </c>
      <c r="C442" s="53">
        <v>145.96</v>
      </c>
      <c r="D442" s="46">
        <v>7.6000000000000004E-5</v>
      </c>
      <c r="E442" s="36"/>
    </row>
    <row r="443" spans="1:5" ht="15.6" x14ac:dyDescent="0.3">
      <c r="A443" s="45" t="s">
        <v>68</v>
      </c>
      <c r="B443" s="14" t="s">
        <v>108</v>
      </c>
      <c r="C443" s="53">
        <v>89.75</v>
      </c>
      <c r="D443" s="46">
        <v>4.7000000000000004E-5</v>
      </c>
      <c r="E443" s="36"/>
    </row>
    <row r="444" spans="1:5" ht="15.6" x14ac:dyDescent="0.3">
      <c r="A444" s="45" t="s">
        <v>73</v>
      </c>
      <c r="B444" s="14" t="s">
        <v>108</v>
      </c>
      <c r="C444" s="53">
        <v>89.51</v>
      </c>
      <c r="D444" s="46">
        <v>4.6E-5</v>
      </c>
      <c r="E444" s="36"/>
    </row>
    <row r="445" spans="1:5" ht="15.6" x14ac:dyDescent="0.3">
      <c r="A445" s="45" t="s">
        <v>81</v>
      </c>
      <c r="B445" s="14" t="s">
        <v>108</v>
      </c>
      <c r="C445" s="53">
        <v>75.400000000000006</v>
      </c>
      <c r="D445" s="46">
        <v>3.8999999999999999E-5</v>
      </c>
      <c r="E445" s="36"/>
    </row>
    <row r="446" spans="1:5" ht="15.6" x14ac:dyDescent="0.3">
      <c r="A446" s="45" t="s">
        <v>83</v>
      </c>
      <c r="B446" s="14" t="s">
        <v>108</v>
      </c>
      <c r="C446" s="53">
        <v>66.41</v>
      </c>
      <c r="D446" s="46">
        <v>3.4E-5</v>
      </c>
      <c r="E446" s="36"/>
    </row>
    <row r="447" spans="1:5" ht="15.6" x14ac:dyDescent="0.3">
      <c r="A447" s="45" t="s">
        <v>66</v>
      </c>
      <c r="B447" s="14" t="s">
        <v>108</v>
      </c>
      <c r="C447" s="53">
        <v>63.72</v>
      </c>
      <c r="D447" s="46">
        <v>3.3000000000000003E-5</v>
      </c>
      <c r="E447" s="36"/>
    </row>
    <row r="448" spans="1:5" ht="15.6" x14ac:dyDescent="0.3">
      <c r="A448" s="45" t="s">
        <v>97</v>
      </c>
      <c r="B448" s="14" t="s">
        <v>108</v>
      </c>
      <c r="C448" s="53">
        <v>61.8</v>
      </c>
      <c r="D448" s="46">
        <v>3.1999999999999999E-5</v>
      </c>
      <c r="E448" s="36"/>
    </row>
    <row r="449" spans="1:5" ht="15.6" x14ac:dyDescent="0.3">
      <c r="A449" s="45" t="s">
        <v>78</v>
      </c>
      <c r="B449" s="14" t="s">
        <v>108</v>
      </c>
      <c r="C449" s="53">
        <v>48.36</v>
      </c>
      <c r="D449" s="46">
        <v>2.5000000000000001E-5</v>
      </c>
      <c r="E449" s="36"/>
    </row>
    <row r="450" spans="1:5" ht="15.6" x14ac:dyDescent="0.3">
      <c r="A450" s="45" t="s">
        <v>88</v>
      </c>
      <c r="B450" s="14" t="s">
        <v>108</v>
      </c>
      <c r="C450" s="53">
        <v>38.94</v>
      </c>
      <c r="D450" s="46">
        <v>2.0000000000000002E-5</v>
      </c>
      <c r="E450" s="36"/>
    </row>
    <row r="451" spans="1:5" ht="15.6" x14ac:dyDescent="0.3">
      <c r="A451" s="45" t="s">
        <v>77</v>
      </c>
      <c r="B451" s="14" t="s">
        <v>108</v>
      </c>
      <c r="C451" s="53">
        <v>28.62</v>
      </c>
      <c r="D451" s="46">
        <v>1.5E-5</v>
      </c>
      <c r="E451" s="36"/>
    </row>
    <row r="452" spans="1:5" ht="15.6" x14ac:dyDescent="0.3">
      <c r="A452" s="45" t="s">
        <v>94</v>
      </c>
      <c r="B452" s="14" t="s">
        <v>108</v>
      </c>
      <c r="C452" s="53">
        <v>24.69</v>
      </c>
      <c r="D452" s="46">
        <v>1.2999999999999999E-5</v>
      </c>
      <c r="E452" s="36"/>
    </row>
    <row r="453" spans="1:5" ht="15.6" x14ac:dyDescent="0.3">
      <c r="A453" s="45" t="s">
        <v>100</v>
      </c>
      <c r="B453" s="14" t="s">
        <v>108</v>
      </c>
      <c r="C453" s="53">
        <v>6.94</v>
      </c>
      <c r="D453" s="46">
        <v>3.9999999999999998E-6</v>
      </c>
      <c r="E453" s="36"/>
    </row>
    <row r="454" spans="1:5" ht="15.6" x14ac:dyDescent="0.3">
      <c r="A454" s="45" t="s">
        <v>133</v>
      </c>
      <c r="B454" s="14" t="s">
        <v>108</v>
      </c>
      <c r="C454" s="53">
        <v>6.4</v>
      </c>
      <c r="D454" s="46">
        <v>2.9999999999999997E-6</v>
      </c>
      <c r="E454" s="36"/>
    </row>
    <row r="455" spans="1:5" ht="15.6" x14ac:dyDescent="0.3">
      <c r="A455" s="54" t="s">
        <v>1</v>
      </c>
      <c r="B455" s="52" t="s">
        <v>158</v>
      </c>
      <c r="C455" s="53">
        <v>46750.07</v>
      </c>
      <c r="D455" s="47">
        <v>0.17257400000000001</v>
      </c>
      <c r="E455" s="50"/>
    </row>
    <row r="456" spans="1:5" ht="15.6" x14ac:dyDescent="0.3">
      <c r="A456" s="54" t="s">
        <v>0</v>
      </c>
      <c r="B456" s="52" t="s">
        <v>158</v>
      </c>
      <c r="C456" s="53">
        <v>31181.62</v>
      </c>
      <c r="D456" s="47">
        <v>0.11510400000000001</v>
      </c>
      <c r="E456" s="50"/>
    </row>
    <row r="457" spans="1:5" ht="15.6" x14ac:dyDescent="0.3">
      <c r="A457" s="54" t="s">
        <v>3</v>
      </c>
      <c r="B457" s="52" t="s">
        <v>158</v>
      </c>
      <c r="C457" s="53">
        <v>25465.37</v>
      </c>
      <c r="D457" s="47">
        <v>9.4003000000000003E-2</v>
      </c>
      <c r="E457" s="50"/>
    </row>
    <row r="458" spans="1:5" ht="15.6" x14ac:dyDescent="0.3">
      <c r="A458" s="54" t="s">
        <v>4</v>
      </c>
      <c r="B458" s="52" t="s">
        <v>158</v>
      </c>
      <c r="C458" s="53">
        <v>24688.57</v>
      </c>
      <c r="D458" s="47">
        <v>9.1135999999999995E-2</v>
      </c>
      <c r="E458" s="50"/>
    </row>
    <row r="459" spans="1:5" ht="15.6" x14ac:dyDescent="0.3">
      <c r="A459" s="54" t="s">
        <v>16</v>
      </c>
      <c r="B459" s="52" t="s">
        <v>158</v>
      </c>
      <c r="C459" s="53">
        <v>23066.44</v>
      </c>
      <c r="D459" s="47">
        <v>8.5147999999999988E-2</v>
      </c>
      <c r="E459" s="50"/>
    </row>
    <row r="460" spans="1:5" ht="15.6" x14ac:dyDescent="0.3">
      <c r="A460" s="54" t="s">
        <v>2</v>
      </c>
      <c r="B460" s="52" t="s">
        <v>158</v>
      </c>
      <c r="C460" s="53">
        <v>22960.83</v>
      </c>
      <c r="D460" s="47">
        <v>8.4758E-2</v>
      </c>
      <c r="E460" s="50"/>
    </row>
    <row r="461" spans="1:5" ht="15.6" x14ac:dyDescent="0.3">
      <c r="A461" s="54" t="s">
        <v>10</v>
      </c>
      <c r="B461" s="52" t="s">
        <v>158</v>
      </c>
      <c r="C461" s="53">
        <v>12048.05</v>
      </c>
      <c r="D461" s="47">
        <v>4.4474E-2</v>
      </c>
      <c r="E461" s="50"/>
    </row>
    <row r="462" spans="1:5" ht="15.6" x14ac:dyDescent="0.3">
      <c r="A462" s="54" t="s">
        <v>8</v>
      </c>
      <c r="B462" s="52" t="s">
        <v>158</v>
      </c>
      <c r="C462" s="53">
        <v>10401.85</v>
      </c>
      <c r="D462" s="47">
        <v>3.8397000000000001E-2</v>
      </c>
      <c r="E462" s="50"/>
    </row>
    <row r="463" spans="1:5" ht="15.6" x14ac:dyDescent="0.3">
      <c r="A463" s="54" t="s">
        <v>6</v>
      </c>
      <c r="B463" s="52" t="s">
        <v>158</v>
      </c>
      <c r="C463" s="53">
        <v>8051.08</v>
      </c>
      <c r="D463" s="47">
        <v>2.972E-2</v>
      </c>
      <c r="E463" s="50"/>
    </row>
    <row r="464" spans="1:5" ht="15.6" x14ac:dyDescent="0.3">
      <c r="A464" s="54" t="s">
        <v>13</v>
      </c>
      <c r="B464" s="52" t="s">
        <v>158</v>
      </c>
      <c r="C464" s="53">
        <v>7159.46</v>
      </c>
      <c r="D464" s="47">
        <v>2.6427999999999997E-2</v>
      </c>
      <c r="E464" s="50"/>
    </row>
    <row r="465" spans="1:5" ht="15.6" x14ac:dyDescent="0.3">
      <c r="A465" s="54" t="s">
        <v>15</v>
      </c>
      <c r="B465" s="52" t="s">
        <v>158</v>
      </c>
      <c r="C465" s="53">
        <v>6633.9</v>
      </c>
      <c r="D465" s="47">
        <v>2.4487999999999999E-2</v>
      </c>
      <c r="E465" s="50"/>
    </row>
    <row r="466" spans="1:5" ht="15.6" x14ac:dyDescent="0.3">
      <c r="A466" s="54" t="s">
        <v>11</v>
      </c>
      <c r="B466" s="52" t="s">
        <v>158</v>
      </c>
      <c r="C466" s="53">
        <v>6438.53</v>
      </c>
      <c r="D466" s="47">
        <v>2.3767E-2</v>
      </c>
      <c r="E466" s="50"/>
    </row>
    <row r="467" spans="1:5" ht="15.6" x14ac:dyDescent="0.3">
      <c r="A467" s="54" t="s">
        <v>12</v>
      </c>
      <c r="B467" s="52" t="s">
        <v>158</v>
      </c>
      <c r="C467" s="53">
        <v>6308.66</v>
      </c>
      <c r="D467" s="47">
        <v>2.3288000000000003E-2</v>
      </c>
      <c r="E467" s="50"/>
    </row>
    <row r="468" spans="1:5" ht="15.6" x14ac:dyDescent="0.3">
      <c r="A468" s="54" t="s">
        <v>14</v>
      </c>
      <c r="B468" s="52" t="s">
        <v>158</v>
      </c>
      <c r="C468" s="53">
        <v>3771.74</v>
      </c>
      <c r="D468" s="47">
        <v>1.3923000000000001E-2</v>
      </c>
      <c r="E468" s="50"/>
    </row>
    <row r="469" spans="1:5" ht="15.6" x14ac:dyDescent="0.3">
      <c r="A469" s="54" t="s">
        <v>29</v>
      </c>
      <c r="B469" s="52" t="s">
        <v>158</v>
      </c>
      <c r="C469" s="53">
        <v>2814.53</v>
      </c>
      <c r="D469" s="47">
        <v>1.039E-2</v>
      </c>
      <c r="E469" s="50"/>
    </row>
    <row r="470" spans="1:5" ht="15.6" x14ac:dyDescent="0.3">
      <c r="A470" s="54" t="s">
        <v>21</v>
      </c>
      <c r="B470" s="52" t="s">
        <v>158</v>
      </c>
      <c r="C470" s="53">
        <v>2554.7399999999998</v>
      </c>
      <c r="D470" s="47">
        <v>9.4310000000000001E-3</v>
      </c>
      <c r="E470" s="50"/>
    </row>
    <row r="471" spans="1:5" ht="15.6" x14ac:dyDescent="0.3">
      <c r="A471" s="54" t="s">
        <v>17</v>
      </c>
      <c r="B471" s="52" t="s">
        <v>158</v>
      </c>
      <c r="C471" s="53">
        <v>2407.5100000000002</v>
      </c>
      <c r="D471" s="47">
        <v>8.8870000000000008E-3</v>
      </c>
      <c r="E471" s="50"/>
    </row>
    <row r="472" spans="1:5" ht="15.6" x14ac:dyDescent="0.3">
      <c r="A472" s="54" t="s">
        <v>20</v>
      </c>
      <c r="B472" s="52" t="s">
        <v>158</v>
      </c>
      <c r="C472" s="53">
        <v>2245.6799999999998</v>
      </c>
      <c r="D472" s="47">
        <v>8.2899999999999988E-3</v>
      </c>
      <c r="E472" s="50"/>
    </row>
    <row r="473" spans="1:5" ht="15.6" x14ac:dyDescent="0.3">
      <c r="A473" s="54" t="s">
        <v>30</v>
      </c>
      <c r="B473" s="52" t="s">
        <v>158</v>
      </c>
      <c r="C473" s="53">
        <v>2088.02</v>
      </c>
      <c r="D473" s="47">
        <v>7.7080000000000004E-3</v>
      </c>
      <c r="E473" s="50"/>
    </row>
    <row r="474" spans="1:5" ht="15.6" x14ac:dyDescent="0.3">
      <c r="A474" s="54" t="s">
        <v>5</v>
      </c>
      <c r="B474" s="52" t="s">
        <v>158</v>
      </c>
      <c r="C474" s="53">
        <v>1676.99</v>
      </c>
      <c r="D474" s="47">
        <v>6.1900000000000002E-3</v>
      </c>
      <c r="E474" s="50"/>
    </row>
    <row r="475" spans="1:5" ht="15.6" x14ac:dyDescent="0.3">
      <c r="A475" s="54" t="s">
        <v>130</v>
      </c>
      <c r="B475" s="52" t="s">
        <v>158</v>
      </c>
      <c r="C475" s="53">
        <v>1560.79</v>
      </c>
      <c r="D475" s="47">
        <v>5.7620000000000006E-3</v>
      </c>
      <c r="E475" s="50"/>
    </row>
    <row r="476" spans="1:5" ht="15.6" x14ac:dyDescent="0.3">
      <c r="A476" s="54" t="s">
        <v>40</v>
      </c>
      <c r="B476" s="52" t="s">
        <v>158</v>
      </c>
      <c r="C476" s="53">
        <v>1502.66</v>
      </c>
      <c r="D476" s="47">
        <v>5.5469999999999998E-3</v>
      </c>
      <c r="E476" s="50"/>
    </row>
    <row r="477" spans="1:5" ht="15.6" x14ac:dyDescent="0.3">
      <c r="A477" s="54" t="s">
        <v>9</v>
      </c>
      <c r="B477" s="52" t="s">
        <v>158</v>
      </c>
      <c r="C477" s="53">
        <v>1497.71</v>
      </c>
      <c r="D477" s="47">
        <v>5.5289999999999992E-3</v>
      </c>
      <c r="E477" s="50"/>
    </row>
    <row r="478" spans="1:5" ht="15.6" x14ac:dyDescent="0.3">
      <c r="A478" s="54" t="s">
        <v>38</v>
      </c>
      <c r="B478" s="52" t="s">
        <v>158</v>
      </c>
      <c r="C478" s="53">
        <v>1381.55</v>
      </c>
      <c r="D478" s="47">
        <v>5.1000000000000004E-3</v>
      </c>
      <c r="E478" s="50"/>
    </row>
    <row r="479" spans="1:5" ht="15.6" x14ac:dyDescent="0.3">
      <c r="A479" s="54" t="s">
        <v>32</v>
      </c>
      <c r="B479" s="52" t="s">
        <v>158</v>
      </c>
      <c r="C479" s="53">
        <v>1285.8699999999999</v>
      </c>
      <c r="D479" s="47">
        <v>4.7470000000000004E-3</v>
      </c>
      <c r="E479" s="50"/>
    </row>
    <row r="480" spans="1:5" ht="15.6" x14ac:dyDescent="0.3">
      <c r="A480" s="54" t="s">
        <v>26</v>
      </c>
      <c r="B480" s="52" t="s">
        <v>158</v>
      </c>
      <c r="C480" s="53">
        <v>1202.1600000000001</v>
      </c>
      <c r="D480" s="47">
        <v>4.4380000000000001E-3</v>
      </c>
      <c r="E480" s="50"/>
    </row>
    <row r="481" spans="1:5" ht="15.6" x14ac:dyDescent="0.3">
      <c r="A481" s="54" t="s">
        <v>7</v>
      </c>
      <c r="B481" s="52" t="s">
        <v>158</v>
      </c>
      <c r="C481" s="53">
        <v>1108.28</v>
      </c>
      <c r="D481" s="47">
        <v>4.091E-3</v>
      </c>
      <c r="E481" s="50"/>
    </row>
    <row r="482" spans="1:5" ht="15.6" x14ac:dyDescent="0.3">
      <c r="A482" s="54" t="s">
        <v>19</v>
      </c>
      <c r="B482" s="52" t="s">
        <v>158</v>
      </c>
      <c r="C482" s="53">
        <v>1055.22</v>
      </c>
      <c r="D482" s="47">
        <v>3.895E-3</v>
      </c>
      <c r="E482" s="50"/>
    </row>
    <row r="483" spans="1:5" ht="15.6" x14ac:dyDescent="0.3">
      <c r="A483" s="54" t="s">
        <v>146</v>
      </c>
      <c r="B483" s="52" t="s">
        <v>158</v>
      </c>
      <c r="C483" s="53">
        <v>1040.52</v>
      </c>
      <c r="D483" s="47">
        <v>3.8409999999999998E-3</v>
      </c>
      <c r="E483" s="50"/>
    </row>
    <row r="484" spans="1:5" ht="15.6" x14ac:dyDescent="0.3">
      <c r="A484" s="54" t="s">
        <v>51</v>
      </c>
      <c r="B484" s="52" t="s">
        <v>158</v>
      </c>
      <c r="C484" s="53">
        <v>987.52</v>
      </c>
      <c r="D484" s="47">
        <v>3.6449999999999998E-3</v>
      </c>
      <c r="E484" s="50"/>
    </row>
    <row r="485" spans="1:5" ht="15.6" x14ac:dyDescent="0.3">
      <c r="A485" s="54" t="s">
        <v>45</v>
      </c>
      <c r="B485" s="52" t="s">
        <v>158</v>
      </c>
      <c r="C485" s="53">
        <v>937.72</v>
      </c>
      <c r="D485" s="47">
        <v>3.4620000000000002E-3</v>
      </c>
      <c r="E485" s="50"/>
    </row>
    <row r="486" spans="1:5" ht="15.6" x14ac:dyDescent="0.3">
      <c r="A486" s="54" t="s">
        <v>74</v>
      </c>
      <c r="B486" s="52" t="s">
        <v>158</v>
      </c>
      <c r="C486" s="53">
        <v>909.21</v>
      </c>
      <c r="D486" s="47">
        <v>3.356E-3</v>
      </c>
      <c r="E486" s="50"/>
    </row>
    <row r="487" spans="1:5" ht="15.6" x14ac:dyDescent="0.3">
      <c r="A487" s="54" t="s">
        <v>43</v>
      </c>
      <c r="B487" s="52" t="s">
        <v>158</v>
      </c>
      <c r="C487" s="53">
        <v>808.07</v>
      </c>
      <c r="D487" s="47">
        <v>2.983E-3</v>
      </c>
      <c r="E487" s="50"/>
    </row>
    <row r="488" spans="1:5" ht="15.6" x14ac:dyDescent="0.3">
      <c r="A488" s="54" t="s">
        <v>42</v>
      </c>
      <c r="B488" s="52" t="s">
        <v>158</v>
      </c>
      <c r="C488" s="53">
        <v>793</v>
      </c>
      <c r="D488" s="47">
        <v>2.9270000000000003E-3</v>
      </c>
      <c r="E488" s="50"/>
    </row>
    <row r="489" spans="1:5" ht="15.6" x14ac:dyDescent="0.3">
      <c r="A489" s="54" t="s">
        <v>25</v>
      </c>
      <c r="B489" s="52" t="s">
        <v>158</v>
      </c>
      <c r="C489" s="53">
        <v>528.67999999999995</v>
      </c>
      <c r="D489" s="47">
        <v>1.9520000000000002E-3</v>
      </c>
      <c r="E489" s="50"/>
    </row>
    <row r="490" spans="1:5" ht="15.6" x14ac:dyDescent="0.3">
      <c r="A490" s="54" t="s">
        <v>90</v>
      </c>
      <c r="B490" s="52" t="s">
        <v>158</v>
      </c>
      <c r="C490" s="53">
        <v>514.37</v>
      </c>
      <c r="D490" s="47">
        <v>1.8990000000000001E-3</v>
      </c>
      <c r="E490" s="50"/>
    </row>
    <row r="491" spans="1:5" ht="15.6" x14ac:dyDescent="0.3">
      <c r="A491" s="54" t="s">
        <v>37</v>
      </c>
      <c r="B491" s="52" t="s">
        <v>158</v>
      </c>
      <c r="C491" s="53">
        <v>490.94</v>
      </c>
      <c r="D491" s="47">
        <v>1.812E-3</v>
      </c>
      <c r="E491" s="50"/>
    </row>
    <row r="492" spans="1:5" ht="15.6" x14ac:dyDescent="0.3">
      <c r="A492" s="54" t="s">
        <v>24</v>
      </c>
      <c r="B492" s="52" t="s">
        <v>158</v>
      </c>
      <c r="C492" s="53">
        <v>439.56</v>
      </c>
      <c r="D492" s="47">
        <v>1.6230000000000001E-3</v>
      </c>
      <c r="E492" s="50"/>
    </row>
    <row r="493" spans="1:5" ht="15.6" x14ac:dyDescent="0.3">
      <c r="A493" s="54" t="s">
        <v>46</v>
      </c>
      <c r="B493" s="52" t="s">
        <v>158</v>
      </c>
      <c r="C493" s="53">
        <v>430.81</v>
      </c>
      <c r="D493" s="47">
        <v>1.5900000000000001E-3</v>
      </c>
      <c r="E493" s="50"/>
    </row>
    <row r="494" spans="1:5" ht="15.6" x14ac:dyDescent="0.3">
      <c r="A494" s="54" t="s">
        <v>41</v>
      </c>
      <c r="B494" s="52" t="s">
        <v>158</v>
      </c>
      <c r="C494" s="53">
        <v>416.5</v>
      </c>
      <c r="D494" s="47">
        <v>1.537E-3</v>
      </c>
      <c r="E494" s="50"/>
    </row>
    <row r="495" spans="1:5" ht="15.6" x14ac:dyDescent="0.3">
      <c r="A495" s="54" t="s">
        <v>27</v>
      </c>
      <c r="B495" s="52" t="s">
        <v>158</v>
      </c>
      <c r="C495" s="53">
        <v>406.95</v>
      </c>
      <c r="D495" s="47">
        <v>1.5020000000000001E-3</v>
      </c>
      <c r="E495" s="50"/>
    </row>
    <row r="496" spans="1:5" ht="15.6" x14ac:dyDescent="0.3">
      <c r="A496" s="54" t="s">
        <v>145</v>
      </c>
      <c r="B496" s="52" t="s">
        <v>158</v>
      </c>
      <c r="C496" s="53">
        <v>314.02</v>
      </c>
      <c r="D496" s="47">
        <v>1.1590000000000001E-3</v>
      </c>
      <c r="E496" s="50"/>
    </row>
    <row r="497" spans="1:5" ht="15.6" x14ac:dyDescent="0.3">
      <c r="A497" s="54" t="s">
        <v>55</v>
      </c>
      <c r="B497" s="52" t="s">
        <v>158</v>
      </c>
      <c r="C497" s="53">
        <v>303.2</v>
      </c>
      <c r="D497" s="47">
        <v>1.119E-3</v>
      </c>
      <c r="E497" s="50"/>
    </row>
    <row r="498" spans="1:5" ht="15.6" x14ac:dyDescent="0.3">
      <c r="A498" s="54" t="s">
        <v>39</v>
      </c>
      <c r="B498" s="52" t="s">
        <v>158</v>
      </c>
      <c r="C498" s="53">
        <v>248.29</v>
      </c>
      <c r="D498" s="47">
        <v>9.1700000000000006E-4</v>
      </c>
      <c r="E498" s="50"/>
    </row>
    <row r="499" spans="1:5" ht="15.6" x14ac:dyDescent="0.3">
      <c r="A499" s="54" t="s">
        <v>54</v>
      </c>
      <c r="B499" s="52" t="s">
        <v>158</v>
      </c>
      <c r="C499" s="53">
        <v>246.15</v>
      </c>
      <c r="D499" s="47">
        <v>9.0899999999999998E-4</v>
      </c>
      <c r="E499" s="50"/>
    </row>
    <row r="500" spans="1:5" ht="15.6" x14ac:dyDescent="0.3">
      <c r="A500" s="54" t="s">
        <v>47</v>
      </c>
      <c r="B500" s="52" t="s">
        <v>158</v>
      </c>
      <c r="C500" s="53">
        <v>245.45</v>
      </c>
      <c r="D500" s="47">
        <v>9.0600000000000001E-4</v>
      </c>
      <c r="E500" s="50"/>
    </row>
    <row r="501" spans="1:5" ht="15.6" x14ac:dyDescent="0.3">
      <c r="A501" s="54" t="s">
        <v>64</v>
      </c>
      <c r="B501" s="52" t="s">
        <v>158</v>
      </c>
      <c r="C501" s="53">
        <v>176.88</v>
      </c>
      <c r="D501" s="47">
        <v>6.5299999999999993E-4</v>
      </c>
      <c r="E501" s="50"/>
    </row>
    <row r="502" spans="1:5" ht="15.6" x14ac:dyDescent="0.3">
      <c r="A502" s="54" t="s">
        <v>58</v>
      </c>
      <c r="B502" s="52" t="s">
        <v>158</v>
      </c>
      <c r="C502" s="53">
        <v>168.58</v>
      </c>
      <c r="D502" s="47">
        <v>6.2199999999999994E-4</v>
      </c>
      <c r="E502" s="50"/>
    </row>
    <row r="503" spans="1:5" ht="15.6" x14ac:dyDescent="0.3">
      <c r="A503" s="54" t="s">
        <v>28</v>
      </c>
      <c r="B503" s="52" t="s">
        <v>158</v>
      </c>
      <c r="C503" s="53">
        <v>149.9</v>
      </c>
      <c r="D503" s="47">
        <v>5.53E-4</v>
      </c>
      <c r="E503" s="50"/>
    </row>
    <row r="504" spans="1:5" ht="15.6" x14ac:dyDescent="0.3">
      <c r="A504" s="54" t="s">
        <v>31</v>
      </c>
      <c r="B504" s="52" t="s">
        <v>158</v>
      </c>
      <c r="C504" s="53">
        <v>120</v>
      </c>
      <c r="D504" s="47">
        <v>4.4299999999999998E-4</v>
      </c>
      <c r="E504" s="50"/>
    </row>
    <row r="505" spans="1:5" ht="15.6" x14ac:dyDescent="0.3">
      <c r="A505" s="54" t="s">
        <v>53</v>
      </c>
      <c r="B505" s="52" t="s">
        <v>158</v>
      </c>
      <c r="C505" s="53">
        <v>119.22</v>
      </c>
      <c r="D505" s="47">
        <v>4.3999999999999996E-4</v>
      </c>
      <c r="E505" s="50"/>
    </row>
    <row r="506" spans="1:5" ht="15.6" x14ac:dyDescent="0.3">
      <c r="A506" s="54" t="s">
        <v>37</v>
      </c>
      <c r="B506" s="52" t="s">
        <v>158</v>
      </c>
      <c r="C506" s="53">
        <v>111.84</v>
      </c>
      <c r="D506" s="47">
        <v>4.1300000000000001E-4</v>
      </c>
      <c r="E506" s="50"/>
    </row>
    <row r="507" spans="1:5" ht="15.6" x14ac:dyDescent="0.3">
      <c r="A507" s="54" t="s">
        <v>79</v>
      </c>
      <c r="B507" s="52" t="s">
        <v>158</v>
      </c>
      <c r="C507" s="53">
        <v>110.1</v>
      </c>
      <c r="D507" s="47">
        <v>4.0599999999999995E-4</v>
      </c>
      <c r="E507" s="50"/>
    </row>
    <row r="508" spans="1:5" ht="15.6" x14ac:dyDescent="0.3">
      <c r="A508" s="54" t="s">
        <v>75</v>
      </c>
      <c r="B508" s="52" t="s">
        <v>158</v>
      </c>
      <c r="C508" s="53">
        <v>95.1</v>
      </c>
      <c r="D508" s="47">
        <v>3.5099999999999997E-4</v>
      </c>
      <c r="E508" s="50"/>
    </row>
    <row r="509" spans="1:5" ht="15.6" x14ac:dyDescent="0.3">
      <c r="A509" s="54" t="s">
        <v>88</v>
      </c>
      <c r="B509" s="52" t="s">
        <v>158</v>
      </c>
      <c r="C509" s="53">
        <v>88.78</v>
      </c>
      <c r="D509" s="47">
        <v>3.28E-4</v>
      </c>
      <c r="E509" s="50"/>
    </row>
    <row r="510" spans="1:5" ht="15.6" x14ac:dyDescent="0.3">
      <c r="A510" s="54" t="s">
        <v>50</v>
      </c>
      <c r="B510" s="52" t="s">
        <v>158</v>
      </c>
      <c r="C510" s="53">
        <v>79.959999999999994</v>
      </c>
      <c r="D510" s="47">
        <v>2.9499999999999996E-4</v>
      </c>
      <c r="E510" s="50"/>
    </row>
    <row r="511" spans="1:5" ht="15.6" x14ac:dyDescent="0.3">
      <c r="A511" s="54" t="s">
        <v>61</v>
      </c>
      <c r="B511" s="52" t="s">
        <v>158</v>
      </c>
      <c r="C511" s="53">
        <v>65.16</v>
      </c>
      <c r="D511" s="47">
        <v>2.41E-4</v>
      </c>
      <c r="E511" s="50"/>
    </row>
    <row r="512" spans="1:5" ht="15.6" x14ac:dyDescent="0.3">
      <c r="A512" s="54" t="s">
        <v>49</v>
      </c>
      <c r="B512" s="52" t="s">
        <v>158</v>
      </c>
      <c r="C512" s="53">
        <v>58.04</v>
      </c>
      <c r="D512" s="47">
        <v>2.14E-4</v>
      </c>
      <c r="E512" s="50"/>
    </row>
    <row r="513" spans="1:5" ht="15.6" x14ac:dyDescent="0.3">
      <c r="A513" s="54" t="s">
        <v>23</v>
      </c>
      <c r="B513" s="52" t="s">
        <v>158</v>
      </c>
      <c r="C513" s="53">
        <v>49.08</v>
      </c>
      <c r="D513" s="47">
        <v>1.8100000000000001E-4</v>
      </c>
      <c r="E513" s="50"/>
    </row>
    <row r="514" spans="1:5" ht="15.6" x14ac:dyDescent="0.3">
      <c r="A514" s="54" t="s">
        <v>33</v>
      </c>
      <c r="B514" s="52" t="s">
        <v>158</v>
      </c>
      <c r="C514" s="53">
        <v>41.88</v>
      </c>
      <c r="D514" s="47">
        <v>1.55E-4</v>
      </c>
      <c r="E514" s="50"/>
    </row>
    <row r="515" spans="1:5" ht="15.6" x14ac:dyDescent="0.3">
      <c r="A515" s="54" t="s">
        <v>22</v>
      </c>
      <c r="B515" s="52" t="s">
        <v>158</v>
      </c>
      <c r="C515" s="53">
        <v>39.69</v>
      </c>
      <c r="D515" s="47">
        <v>1.47E-4</v>
      </c>
      <c r="E515" s="50"/>
    </row>
    <row r="516" spans="1:5" ht="15.6" x14ac:dyDescent="0.3">
      <c r="A516" s="54" t="s">
        <v>44</v>
      </c>
      <c r="B516" s="52" t="s">
        <v>158</v>
      </c>
      <c r="C516" s="53">
        <v>26.45</v>
      </c>
      <c r="D516" s="47">
        <v>9.7999999999999997E-5</v>
      </c>
      <c r="E516" s="50"/>
    </row>
    <row r="517" spans="1:5" ht="15.6" x14ac:dyDescent="0.3">
      <c r="A517" s="54" t="s">
        <v>56</v>
      </c>
      <c r="B517" s="52" t="s">
        <v>158</v>
      </c>
      <c r="C517" s="53">
        <v>22.58</v>
      </c>
      <c r="D517" s="47">
        <v>8.2999999999999998E-5</v>
      </c>
      <c r="E517" s="50"/>
    </row>
    <row r="518" spans="1:5" ht="15.6" x14ac:dyDescent="0.3">
      <c r="A518" s="54" t="s">
        <v>83</v>
      </c>
      <c r="B518" s="52" t="s">
        <v>158</v>
      </c>
      <c r="C518" s="53">
        <v>7.3</v>
      </c>
      <c r="D518" s="47">
        <v>2.7000000000000002E-5</v>
      </c>
      <c r="E518" s="50"/>
    </row>
    <row r="519" spans="1:5" ht="15.6" x14ac:dyDescent="0.3">
      <c r="A519" s="45" t="s">
        <v>1</v>
      </c>
      <c r="B519" s="14" t="s">
        <v>110</v>
      </c>
      <c r="C519" s="15">
        <v>155576.15</v>
      </c>
      <c r="D519" s="47">
        <v>0.18258199999999999</v>
      </c>
      <c r="E519" s="50"/>
    </row>
    <row r="520" spans="1:5" ht="15.6" x14ac:dyDescent="0.3">
      <c r="A520" s="45" t="s">
        <v>8</v>
      </c>
      <c r="B520" s="14" t="s">
        <v>110</v>
      </c>
      <c r="C520" s="15">
        <v>70330.23</v>
      </c>
      <c r="D520" s="47">
        <v>8.2538E-2</v>
      </c>
      <c r="E520" s="50"/>
    </row>
    <row r="521" spans="1:5" ht="15.6" x14ac:dyDescent="0.3">
      <c r="A521" s="45" t="s">
        <v>2</v>
      </c>
      <c r="B521" s="14" t="s">
        <v>110</v>
      </c>
      <c r="C521" s="15">
        <v>67517.88</v>
      </c>
      <c r="D521" s="47">
        <v>7.9238000000000003E-2</v>
      </c>
      <c r="E521" s="50"/>
    </row>
    <row r="522" spans="1:5" ht="15.6" x14ac:dyDescent="0.3">
      <c r="A522" s="45" t="s">
        <v>0</v>
      </c>
      <c r="B522" s="14" t="s">
        <v>110</v>
      </c>
      <c r="C522" s="15">
        <v>60268.31</v>
      </c>
      <c r="D522" s="47">
        <v>7.0730000000000001E-2</v>
      </c>
      <c r="E522" s="50"/>
    </row>
    <row r="523" spans="1:5" ht="15.6" x14ac:dyDescent="0.3">
      <c r="A523" s="45" t="s">
        <v>4</v>
      </c>
      <c r="B523" s="14" t="s">
        <v>110</v>
      </c>
      <c r="C523" s="15">
        <v>54532.7</v>
      </c>
      <c r="D523" s="47">
        <v>6.3999E-2</v>
      </c>
      <c r="E523" s="50"/>
    </row>
    <row r="524" spans="1:5" ht="15.6" x14ac:dyDescent="0.3">
      <c r="A524" s="45" t="s">
        <v>9</v>
      </c>
      <c r="B524" s="14" t="s">
        <v>110</v>
      </c>
      <c r="C524" s="15">
        <v>47699.02</v>
      </c>
      <c r="D524" s="47">
        <v>5.5979000000000001E-2</v>
      </c>
      <c r="E524" s="50"/>
    </row>
    <row r="525" spans="1:5" ht="15.6" x14ac:dyDescent="0.3">
      <c r="A525" s="45" t="s">
        <v>7</v>
      </c>
      <c r="B525" s="14" t="s">
        <v>110</v>
      </c>
      <c r="C525" s="15">
        <v>44203.11</v>
      </c>
      <c r="D525" s="47">
        <v>5.1875999999999999E-2</v>
      </c>
      <c r="E525" s="50"/>
    </row>
    <row r="526" spans="1:5" ht="15.6" x14ac:dyDescent="0.3">
      <c r="A526" s="45" t="s">
        <v>16</v>
      </c>
      <c r="B526" s="14" t="s">
        <v>110</v>
      </c>
      <c r="C526" s="15">
        <v>39431.89</v>
      </c>
      <c r="D526" s="47">
        <v>4.6276999999999999E-2</v>
      </c>
      <c r="E526" s="50"/>
    </row>
    <row r="527" spans="1:5" ht="15.6" x14ac:dyDescent="0.3">
      <c r="A527" s="45" t="s">
        <v>13</v>
      </c>
      <c r="B527" s="14" t="s">
        <v>110</v>
      </c>
      <c r="C527" s="15">
        <v>36905.93</v>
      </c>
      <c r="D527" s="47">
        <v>4.3311999999999996E-2</v>
      </c>
      <c r="E527" s="50"/>
    </row>
    <row r="528" spans="1:5" ht="15.6" x14ac:dyDescent="0.3">
      <c r="A528" s="45" t="s">
        <v>3</v>
      </c>
      <c r="B528" s="14" t="s">
        <v>110</v>
      </c>
      <c r="C528" s="15">
        <v>32687.05</v>
      </c>
      <c r="D528" s="47">
        <v>3.8360999999999999E-2</v>
      </c>
      <c r="E528" s="50"/>
    </row>
    <row r="529" spans="1:5" ht="15.6" x14ac:dyDescent="0.3">
      <c r="A529" s="45" t="s">
        <v>20</v>
      </c>
      <c r="B529" s="14" t="s">
        <v>110</v>
      </c>
      <c r="C529" s="15">
        <v>30125.67</v>
      </c>
      <c r="D529" s="47">
        <v>3.5354999999999998E-2</v>
      </c>
      <c r="E529" s="50"/>
    </row>
    <row r="530" spans="1:5" ht="15.6" x14ac:dyDescent="0.3">
      <c r="A530" s="45" t="s">
        <v>6</v>
      </c>
      <c r="B530" s="14" t="s">
        <v>110</v>
      </c>
      <c r="C530" s="15">
        <v>29290.04</v>
      </c>
      <c r="D530" s="47">
        <v>3.4373999999999995E-2</v>
      </c>
      <c r="E530" s="50"/>
    </row>
    <row r="531" spans="1:5" ht="15.6" x14ac:dyDescent="0.3">
      <c r="A531" s="45" t="s">
        <v>12</v>
      </c>
      <c r="B531" s="14" t="s">
        <v>110</v>
      </c>
      <c r="C531" s="15">
        <v>27973.74</v>
      </c>
      <c r="D531" s="47">
        <v>3.2829999999999998E-2</v>
      </c>
      <c r="E531" s="50"/>
    </row>
    <row r="532" spans="1:5" ht="15.6" x14ac:dyDescent="0.3">
      <c r="A532" s="45" t="s">
        <v>146</v>
      </c>
      <c r="B532" s="14" t="s">
        <v>110</v>
      </c>
      <c r="C532" s="15">
        <v>22320.41</v>
      </c>
      <c r="D532" s="47">
        <v>2.6195E-2</v>
      </c>
      <c r="E532" s="50"/>
    </row>
    <row r="533" spans="1:5" ht="15.6" x14ac:dyDescent="0.3">
      <c r="A533" s="45" t="s">
        <v>11</v>
      </c>
      <c r="B533" s="14" t="s">
        <v>110</v>
      </c>
      <c r="C533" s="15">
        <v>17058.79</v>
      </c>
      <c r="D533" s="47">
        <v>2.0019999999999996E-2</v>
      </c>
      <c r="E533" s="50"/>
    </row>
    <row r="534" spans="1:5" ht="15.6" x14ac:dyDescent="0.3">
      <c r="A534" s="45" t="s">
        <v>10</v>
      </c>
      <c r="B534" s="14" t="s">
        <v>110</v>
      </c>
      <c r="C534" s="15">
        <v>14200.7</v>
      </c>
      <c r="D534" s="47">
        <v>1.6666E-2</v>
      </c>
      <c r="E534" s="50"/>
    </row>
    <row r="535" spans="1:5" ht="15.6" x14ac:dyDescent="0.3">
      <c r="A535" s="45" t="s">
        <v>15</v>
      </c>
      <c r="B535" s="14" t="s">
        <v>110</v>
      </c>
      <c r="C535" s="15">
        <v>12757.41</v>
      </c>
      <c r="D535" s="47">
        <v>1.4972000000000001E-2</v>
      </c>
      <c r="E535" s="50"/>
    </row>
    <row r="536" spans="1:5" ht="15.6" x14ac:dyDescent="0.3">
      <c r="A536" s="45" t="s">
        <v>14</v>
      </c>
      <c r="B536" s="14" t="s">
        <v>110</v>
      </c>
      <c r="C536" s="15">
        <v>9683.2800000000007</v>
      </c>
      <c r="D536" s="47">
        <v>1.1364000000000001E-2</v>
      </c>
      <c r="E536" s="50"/>
    </row>
    <row r="537" spans="1:5" ht="15.6" x14ac:dyDescent="0.3">
      <c r="A537" s="45" t="s">
        <v>159</v>
      </c>
      <c r="B537" s="14" t="s">
        <v>110</v>
      </c>
      <c r="C537" s="15">
        <v>9133.2999999999993</v>
      </c>
      <c r="D537" s="47">
        <v>1.0719000000000001E-2</v>
      </c>
      <c r="E537" s="50"/>
    </row>
    <row r="538" spans="1:5" ht="15.6" x14ac:dyDescent="0.3">
      <c r="A538" s="45" t="s">
        <v>5</v>
      </c>
      <c r="B538" s="14" t="s">
        <v>110</v>
      </c>
      <c r="C538" s="15">
        <v>8282.86</v>
      </c>
      <c r="D538" s="47">
        <v>9.7210000000000005E-3</v>
      </c>
      <c r="E538" s="50"/>
    </row>
    <row r="539" spans="1:5" ht="15.6" x14ac:dyDescent="0.3">
      <c r="A539" s="45" t="s">
        <v>21</v>
      </c>
      <c r="B539" s="14" t="s">
        <v>110</v>
      </c>
      <c r="C539" s="15">
        <v>5261.99</v>
      </c>
      <c r="D539" s="47">
        <v>6.1750000000000008E-3</v>
      </c>
      <c r="E539" s="50"/>
    </row>
    <row r="540" spans="1:5" ht="15.6" x14ac:dyDescent="0.3">
      <c r="A540" s="45" t="s">
        <v>24</v>
      </c>
      <c r="B540" s="14" t="s">
        <v>110</v>
      </c>
      <c r="C540" s="15">
        <v>4907.46</v>
      </c>
      <c r="D540" s="47">
        <v>5.7589999999999994E-3</v>
      </c>
      <c r="E540" s="50"/>
    </row>
    <row r="541" spans="1:5" ht="15.6" x14ac:dyDescent="0.3">
      <c r="A541" s="45" t="s">
        <v>42</v>
      </c>
      <c r="B541" s="14" t="s">
        <v>110</v>
      </c>
      <c r="C541" s="15">
        <v>4628.84</v>
      </c>
      <c r="D541" s="47">
        <v>5.4320000000000002E-3</v>
      </c>
      <c r="E541" s="50"/>
    </row>
    <row r="542" spans="1:5" ht="15.6" x14ac:dyDescent="0.3">
      <c r="A542" s="45" t="s">
        <v>29</v>
      </c>
      <c r="B542" s="14" t="s">
        <v>110</v>
      </c>
      <c r="C542" s="15">
        <v>4460.8999999999996</v>
      </c>
      <c r="D542" s="47">
        <v>5.2350000000000001E-3</v>
      </c>
      <c r="E542" s="50"/>
    </row>
    <row r="543" spans="1:5" ht="15.6" x14ac:dyDescent="0.3">
      <c r="A543" s="45" t="s">
        <v>17</v>
      </c>
      <c r="B543" s="14" t="s">
        <v>110</v>
      </c>
      <c r="C543" s="15">
        <v>3685.47</v>
      </c>
      <c r="D543" s="47">
        <v>4.3249999999999999E-3</v>
      </c>
      <c r="E543" s="50"/>
    </row>
    <row r="544" spans="1:5" ht="15.6" x14ac:dyDescent="0.3">
      <c r="A544" s="45" t="s">
        <v>19</v>
      </c>
      <c r="B544" s="14" t="s">
        <v>110</v>
      </c>
      <c r="C544" s="15">
        <v>3463.32</v>
      </c>
      <c r="D544" s="47">
        <v>4.0639999999999999E-3</v>
      </c>
      <c r="E544" s="50"/>
    </row>
    <row r="545" spans="1:5" ht="15.6" x14ac:dyDescent="0.3">
      <c r="A545" s="45" t="s">
        <v>160</v>
      </c>
      <c r="B545" s="14" t="s">
        <v>110</v>
      </c>
      <c r="C545" s="15">
        <v>3259.37</v>
      </c>
      <c r="D545" s="47">
        <v>3.8250000000000003E-3</v>
      </c>
      <c r="E545" s="50"/>
    </row>
    <row r="546" spans="1:5" ht="15.6" x14ac:dyDescent="0.3">
      <c r="A546" s="45" t="s">
        <v>26</v>
      </c>
      <c r="B546" s="14" t="s">
        <v>110</v>
      </c>
      <c r="C546" s="15">
        <v>3102.8</v>
      </c>
      <c r="D546" s="47">
        <v>3.6409999999999997E-3</v>
      </c>
      <c r="E546" s="50"/>
    </row>
    <row r="547" spans="1:5" ht="15.6" x14ac:dyDescent="0.3">
      <c r="A547" s="45" t="s">
        <v>25</v>
      </c>
      <c r="B547" s="14" t="s">
        <v>110</v>
      </c>
      <c r="C547" s="15">
        <v>2976.46</v>
      </c>
      <c r="D547" s="47">
        <v>3.493E-3</v>
      </c>
      <c r="E547" s="50"/>
    </row>
    <row r="548" spans="1:5" ht="15.6" x14ac:dyDescent="0.3">
      <c r="A548" s="45" t="s">
        <v>27</v>
      </c>
      <c r="B548" s="14" t="s">
        <v>110</v>
      </c>
      <c r="C548" s="15">
        <v>2919.85</v>
      </c>
      <c r="D548" s="47">
        <v>3.4269999999999999E-3</v>
      </c>
      <c r="E548" s="50"/>
    </row>
    <row r="549" spans="1:5" ht="15.6" x14ac:dyDescent="0.3">
      <c r="A549" s="45" t="s">
        <v>45</v>
      </c>
      <c r="B549" s="14" t="s">
        <v>110</v>
      </c>
      <c r="C549" s="15">
        <v>2589.4</v>
      </c>
      <c r="D549" s="47">
        <v>3.039E-3</v>
      </c>
      <c r="E549" s="50"/>
    </row>
    <row r="550" spans="1:5" ht="15.6" x14ac:dyDescent="0.3">
      <c r="A550" s="45" t="s">
        <v>130</v>
      </c>
      <c r="B550" s="14" t="s">
        <v>110</v>
      </c>
      <c r="C550" s="15">
        <v>1810.08</v>
      </c>
      <c r="D550" s="47">
        <v>2.124E-3</v>
      </c>
      <c r="E550" s="50"/>
    </row>
    <row r="551" spans="1:5" ht="15.6" x14ac:dyDescent="0.3">
      <c r="A551" s="45" t="s">
        <v>74</v>
      </c>
      <c r="B551" s="14" t="s">
        <v>110</v>
      </c>
      <c r="C551" s="15">
        <v>1690.37</v>
      </c>
      <c r="D551" s="47">
        <v>1.9840000000000001E-3</v>
      </c>
      <c r="E551" s="50"/>
    </row>
    <row r="552" spans="1:5" ht="15.6" x14ac:dyDescent="0.3">
      <c r="A552" s="45" t="s">
        <v>38</v>
      </c>
      <c r="B552" s="14" t="s">
        <v>110</v>
      </c>
      <c r="C552" s="15">
        <v>1627.87</v>
      </c>
      <c r="D552" s="47">
        <v>1.91E-3</v>
      </c>
      <c r="E552" s="50"/>
    </row>
    <row r="553" spans="1:5" ht="15.6" x14ac:dyDescent="0.3">
      <c r="A553" s="45" t="s">
        <v>47</v>
      </c>
      <c r="B553" s="14" t="s">
        <v>110</v>
      </c>
      <c r="C553" s="15">
        <v>1581.04</v>
      </c>
      <c r="D553" s="47">
        <v>1.8549999999999999E-3</v>
      </c>
      <c r="E553" s="50"/>
    </row>
    <row r="554" spans="1:5" ht="15.6" x14ac:dyDescent="0.3">
      <c r="A554" s="45" t="s">
        <v>32</v>
      </c>
      <c r="B554" s="14" t="s">
        <v>110</v>
      </c>
      <c r="C554" s="15">
        <v>1129.3</v>
      </c>
      <c r="D554" s="47">
        <v>1.325E-3</v>
      </c>
      <c r="E554" s="50"/>
    </row>
    <row r="555" spans="1:5" ht="15.6" x14ac:dyDescent="0.3">
      <c r="A555" s="45" t="s">
        <v>40</v>
      </c>
      <c r="B555" s="14" t="s">
        <v>110</v>
      </c>
      <c r="C555" s="15">
        <v>1117.45</v>
      </c>
      <c r="D555" s="47">
        <v>1.3109999999999999E-3</v>
      </c>
      <c r="E555" s="50"/>
    </row>
    <row r="556" spans="1:5" ht="15.6" x14ac:dyDescent="0.3">
      <c r="A556" s="45" t="s">
        <v>64</v>
      </c>
      <c r="B556" s="14" t="s">
        <v>110</v>
      </c>
      <c r="C556" s="15">
        <v>1111.5</v>
      </c>
      <c r="D556" s="47">
        <v>1.3039999999999998E-3</v>
      </c>
      <c r="E556" s="50"/>
    </row>
    <row r="557" spans="1:5" ht="15.6" x14ac:dyDescent="0.3">
      <c r="A557" s="45" t="s">
        <v>30</v>
      </c>
      <c r="B557" s="14" t="s">
        <v>110</v>
      </c>
      <c r="C557" s="15">
        <v>984.26</v>
      </c>
      <c r="D557" s="47">
        <v>1.155E-3</v>
      </c>
      <c r="E557" s="50"/>
    </row>
    <row r="558" spans="1:5" ht="15.6" x14ac:dyDescent="0.3">
      <c r="A558" s="45" t="s">
        <v>67</v>
      </c>
      <c r="B558" s="14" t="s">
        <v>110</v>
      </c>
      <c r="C558" s="15">
        <v>948.1</v>
      </c>
      <c r="D558" s="47">
        <v>1.1130000000000001E-3</v>
      </c>
      <c r="E558" s="50"/>
    </row>
    <row r="559" spans="1:5" ht="15.6" x14ac:dyDescent="0.3">
      <c r="A559" s="45" t="s">
        <v>62</v>
      </c>
      <c r="B559" s="14" t="s">
        <v>110</v>
      </c>
      <c r="C559" s="15">
        <v>693.2</v>
      </c>
      <c r="D559" s="47">
        <v>8.1400000000000005E-4</v>
      </c>
      <c r="E559" s="50"/>
    </row>
    <row r="560" spans="1:5" ht="15.6" x14ac:dyDescent="0.3">
      <c r="A560" s="45" t="s">
        <v>37</v>
      </c>
      <c r="B560" s="14" t="s">
        <v>110</v>
      </c>
      <c r="C560" s="15">
        <v>679.52</v>
      </c>
      <c r="D560" s="47">
        <v>7.9699999999999997E-4</v>
      </c>
      <c r="E560" s="50"/>
    </row>
    <row r="561" spans="1:5" ht="15.6" x14ac:dyDescent="0.3">
      <c r="A561" s="45" t="s">
        <v>55</v>
      </c>
      <c r="B561" s="14" t="s">
        <v>110</v>
      </c>
      <c r="C561" s="15">
        <v>676.7</v>
      </c>
      <c r="D561" s="47">
        <v>7.94E-4</v>
      </c>
      <c r="E561" s="50"/>
    </row>
    <row r="562" spans="1:5" ht="15.6" x14ac:dyDescent="0.3">
      <c r="A562" s="45" t="s">
        <v>43</v>
      </c>
      <c r="B562" s="14" t="s">
        <v>110</v>
      </c>
      <c r="C562" s="15">
        <v>592.65</v>
      </c>
      <c r="D562" s="47">
        <v>6.96E-4</v>
      </c>
      <c r="E562" s="50"/>
    </row>
    <row r="563" spans="1:5" ht="15.6" x14ac:dyDescent="0.3">
      <c r="A563" s="45" t="s">
        <v>54</v>
      </c>
      <c r="B563" s="14" t="s">
        <v>110</v>
      </c>
      <c r="C563" s="15">
        <v>576.13</v>
      </c>
      <c r="D563" s="47">
        <v>6.7599999999999995E-4</v>
      </c>
      <c r="E563" s="50"/>
    </row>
    <row r="564" spans="1:5" ht="15.6" x14ac:dyDescent="0.3">
      <c r="A564" s="45" t="s">
        <v>50</v>
      </c>
      <c r="B564" s="14" t="s">
        <v>110</v>
      </c>
      <c r="C564" s="15">
        <v>551.08000000000004</v>
      </c>
      <c r="D564" s="47">
        <v>6.469999999999999E-4</v>
      </c>
      <c r="E564" s="50"/>
    </row>
    <row r="565" spans="1:5" ht="15.6" x14ac:dyDescent="0.3">
      <c r="A565" s="45" t="s">
        <v>46</v>
      </c>
      <c r="B565" s="14" t="s">
        <v>110</v>
      </c>
      <c r="C565" s="15">
        <v>540.45000000000005</v>
      </c>
      <c r="D565" s="47">
        <v>6.3400000000000001E-4</v>
      </c>
      <c r="E565" s="50"/>
    </row>
    <row r="566" spans="1:5" ht="15.6" x14ac:dyDescent="0.3">
      <c r="A566" s="45" t="s">
        <v>41</v>
      </c>
      <c r="B566" s="14" t="s">
        <v>110</v>
      </c>
      <c r="C566" s="15">
        <v>478.94</v>
      </c>
      <c r="D566" s="47">
        <v>5.62E-4</v>
      </c>
      <c r="E566" s="50"/>
    </row>
    <row r="567" spans="1:5" ht="15.6" x14ac:dyDescent="0.3">
      <c r="A567" s="45" t="s">
        <v>76</v>
      </c>
      <c r="B567" s="14" t="s">
        <v>110</v>
      </c>
      <c r="C567" s="15">
        <v>361.95</v>
      </c>
      <c r="D567" s="47">
        <v>4.2500000000000003E-4</v>
      </c>
      <c r="E567" s="50"/>
    </row>
    <row r="568" spans="1:5" ht="15.6" x14ac:dyDescent="0.3">
      <c r="A568" s="45" t="s">
        <v>28</v>
      </c>
      <c r="B568" s="14" t="s">
        <v>110</v>
      </c>
      <c r="C568" s="15">
        <v>352.48</v>
      </c>
      <c r="D568" s="47">
        <v>4.1399999999999998E-4</v>
      </c>
      <c r="E568" s="50"/>
    </row>
    <row r="569" spans="1:5" ht="15.6" x14ac:dyDescent="0.3">
      <c r="A569" s="45" t="s">
        <v>35</v>
      </c>
      <c r="B569" s="14" t="s">
        <v>110</v>
      </c>
      <c r="C569" s="15">
        <v>297.92</v>
      </c>
      <c r="D569" s="47">
        <v>3.5000000000000005E-4</v>
      </c>
      <c r="E569" s="50"/>
    </row>
    <row r="570" spans="1:5" ht="15.6" x14ac:dyDescent="0.3">
      <c r="A570" s="45" t="s">
        <v>56</v>
      </c>
      <c r="B570" s="14" t="s">
        <v>110</v>
      </c>
      <c r="C570" s="15">
        <v>294.94</v>
      </c>
      <c r="D570" s="47">
        <v>3.4600000000000001E-4</v>
      </c>
      <c r="E570" s="50"/>
    </row>
    <row r="571" spans="1:5" ht="15.6" x14ac:dyDescent="0.3">
      <c r="A571" s="45" t="s">
        <v>33</v>
      </c>
      <c r="B571" s="14" t="s">
        <v>110</v>
      </c>
      <c r="C571" s="15">
        <v>290.04000000000002</v>
      </c>
      <c r="D571" s="47">
        <v>3.4000000000000002E-4</v>
      </c>
      <c r="E571" s="50"/>
    </row>
    <row r="572" spans="1:5" ht="15.6" x14ac:dyDescent="0.3">
      <c r="A572" s="45" t="s">
        <v>90</v>
      </c>
      <c r="B572" s="14" t="s">
        <v>110</v>
      </c>
      <c r="C572" s="15">
        <v>272.85000000000002</v>
      </c>
      <c r="D572" s="47">
        <v>3.2000000000000003E-4</v>
      </c>
      <c r="E572" s="50"/>
    </row>
    <row r="573" spans="1:5" ht="15.6" x14ac:dyDescent="0.3">
      <c r="A573" s="45" t="s">
        <v>22</v>
      </c>
      <c r="B573" s="14" t="s">
        <v>110</v>
      </c>
      <c r="C573" s="15">
        <v>268.14</v>
      </c>
      <c r="D573" s="47">
        <v>3.1500000000000001E-4</v>
      </c>
      <c r="E573" s="50"/>
    </row>
    <row r="574" spans="1:5" ht="15.6" x14ac:dyDescent="0.3">
      <c r="A574" s="45" t="s">
        <v>39</v>
      </c>
      <c r="B574" s="14" t="s">
        <v>110</v>
      </c>
      <c r="C574" s="15">
        <v>265.92</v>
      </c>
      <c r="D574" s="47">
        <v>3.1199999999999999E-4</v>
      </c>
      <c r="E574" s="50"/>
    </row>
    <row r="575" spans="1:5" ht="15.6" x14ac:dyDescent="0.3">
      <c r="A575" s="45" t="s">
        <v>31</v>
      </c>
      <c r="B575" s="14" t="s">
        <v>110</v>
      </c>
      <c r="C575" s="15">
        <v>239.12</v>
      </c>
      <c r="D575" s="47">
        <v>2.81E-4</v>
      </c>
      <c r="E575" s="50"/>
    </row>
    <row r="576" spans="1:5" ht="15.6" x14ac:dyDescent="0.3">
      <c r="A576" s="45" t="s">
        <v>23</v>
      </c>
      <c r="B576" s="14" t="s">
        <v>110</v>
      </c>
      <c r="C576" s="15">
        <v>170.88</v>
      </c>
      <c r="D576" s="47">
        <v>2.0100000000000001E-4</v>
      </c>
      <c r="E576" s="50"/>
    </row>
    <row r="577" spans="1:5" ht="15.6" x14ac:dyDescent="0.3">
      <c r="A577" s="45" t="s">
        <v>51</v>
      </c>
      <c r="B577" s="14" t="s">
        <v>110</v>
      </c>
      <c r="C577" s="15">
        <v>166.3</v>
      </c>
      <c r="D577" s="47">
        <v>1.95E-4</v>
      </c>
      <c r="E577" s="50"/>
    </row>
    <row r="578" spans="1:5" ht="15.6" x14ac:dyDescent="0.3">
      <c r="A578" s="45" t="s">
        <v>34</v>
      </c>
      <c r="B578" s="14" t="s">
        <v>110</v>
      </c>
      <c r="C578" s="15">
        <v>153.52000000000001</v>
      </c>
      <c r="D578" s="47">
        <v>1.7999999999999998E-4</v>
      </c>
      <c r="E578" s="50"/>
    </row>
    <row r="579" spans="1:5" ht="15.6" x14ac:dyDescent="0.3">
      <c r="A579" s="45" t="s">
        <v>53</v>
      </c>
      <c r="B579" s="14" t="s">
        <v>110</v>
      </c>
      <c r="C579" s="15">
        <v>142.09</v>
      </c>
      <c r="D579" s="47">
        <v>1.6699999999999999E-4</v>
      </c>
      <c r="E579" s="50"/>
    </row>
    <row r="580" spans="1:5" ht="15.6" x14ac:dyDescent="0.3">
      <c r="A580" s="45" t="s">
        <v>60</v>
      </c>
      <c r="B580" s="14" t="s">
        <v>110</v>
      </c>
      <c r="C580" s="15">
        <v>117.92</v>
      </c>
      <c r="D580" s="47">
        <v>1.3799999999999999E-4</v>
      </c>
      <c r="E580" s="50"/>
    </row>
    <row r="581" spans="1:5" ht="15.6" x14ac:dyDescent="0.3">
      <c r="A581" s="45" t="s">
        <v>88</v>
      </c>
      <c r="B581" s="14" t="s">
        <v>110</v>
      </c>
      <c r="C581" s="15">
        <v>112.5</v>
      </c>
      <c r="D581" s="47">
        <v>1.3200000000000001E-4</v>
      </c>
      <c r="E581" s="50"/>
    </row>
    <row r="582" spans="1:5" ht="15.6" x14ac:dyDescent="0.3">
      <c r="A582" s="45" t="s">
        <v>79</v>
      </c>
      <c r="B582" s="14" t="s">
        <v>110</v>
      </c>
      <c r="C582" s="15">
        <v>105.64</v>
      </c>
      <c r="D582" s="47">
        <v>1.2400000000000001E-4</v>
      </c>
      <c r="E582" s="50"/>
    </row>
    <row r="583" spans="1:5" ht="15.6" x14ac:dyDescent="0.3">
      <c r="A583" s="45" t="s">
        <v>63</v>
      </c>
      <c r="B583" s="14" t="s">
        <v>110</v>
      </c>
      <c r="C583" s="15">
        <v>99.9</v>
      </c>
      <c r="D583" s="47">
        <v>1.17E-4</v>
      </c>
      <c r="E583" s="50"/>
    </row>
    <row r="584" spans="1:5" ht="15.6" x14ac:dyDescent="0.3">
      <c r="A584" s="45" t="s">
        <v>145</v>
      </c>
      <c r="B584" s="14" t="s">
        <v>110</v>
      </c>
      <c r="C584" s="15">
        <v>88.3</v>
      </c>
      <c r="D584" s="47">
        <v>1.0399999999999999E-4</v>
      </c>
      <c r="E584" s="50"/>
    </row>
    <row r="585" spans="1:5" ht="15.6" x14ac:dyDescent="0.3">
      <c r="A585" s="45" t="s">
        <v>61</v>
      </c>
      <c r="B585" s="14" t="s">
        <v>110</v>
      </c>
      <c r="C585" s="15">
        <v>73.86</v>
      </c>
      <c r="D585" s="47">
        <v>8.7000000000000001E-5</v>
      </c>
      <c r="E585" s="50"/>
    </row>
    <row r="586" spans="1:5" ht="15.6" x14ac:dyDescent="0.3">
      <c r="A586" s="45" t="s">
        <v>58</v>
      </c>
      <c r="B586" s="14" t="s">
        <v>110</v>
      </c>
      <c r="C586" s="15">
        <v>52.85</v>
      </c>
      <c r="D586" s="47">
        <v>6.2000000000000003E-5</v>
      </c>
      <c r="E586" s="50"/>
    </row>
    <row r="587" spans="1:5" ht="15.6" x14ac:dyDescent="0.3">
      <c r="A587" s="45" t="s">
        <v>44</v>
      </c>
      <c r="B587" s="14" t="s">
        <v>110</v>
      </c>
      <c r="C587" s="15">
        <v>43.76</v>
      </c>
      <c r="D587" s="47">
        <v>5.1000000000000006E-5</v>
      </c>
      <c r="E587" s="50"/>
    </row>
    <row r="588" spans="1:5" ht="15.6" x14ac:dyDescent="0.3">
      <c r="A588" s="45" t="s">
        <v>93</v>
      </c>
      <c r="B588" s="14" t="s">
        <v>110</v>
      </c>
      <c r="C588" s="15">
        <v>39.9</v>
      </c>
      <c r="D588" s="47">
        <v>4.7000000000000004E-5</v>
      </c>
      <c r="E588" s="50"/>
    </row>
    <row r="589" spans="1:5" ht="15.6" x14ac:dyDescent="0.3">
      <c r="A589" s="45" t="s">
        <v>52</v>
      </c>
      <c r="B589" s="14" t="s">
        <v>110</v>
      </c>
      <c r="C589" s="15">
        <v>23.94</v>
      </c>
      <c r="D589" s="47">
        <v>2.8E-5</v>
      </c>
      <c r="E589" s="50"/>
    </row>
    <row r="590" spans="1:5" ht="15.6" x14ac:dyDescent="0.3">
      <c r="A590" s="45" t="s">
        <v>81</v>
      </c>
      <c r="B590" s="14" t="s">
        <v>110</v>
      </c>
      <c r="C590" s="15">
        <v>18.2</v>
      </c>
      <c r="D590" s="47">
        <v>2.0999999999999999E-5</v>
      </c>
      <c r="E590" s="50"/>
    </row>
    <row r="591" spans="1:5" ht="15.6" x14ac:dyDescent="0.3">
      <c r="A591" s="45" t="s">
        <v>83</v>
      </c>
      <c r="B591" s="14" t="s">
        <v>110</v>
      </c>
      <c r="C591" s="15">
        <v>14.6</v>
      </c>
      <c r="D591" s="47">
        <v>1.7E-5</v>
      </c>
      <c r="E591" s="50"/>
    </row>
    <row r="592" spans="1:5" ht="15.6" x14ac:dyDescent="0.3">
      <c r="A592" s="54" t="s">
        <v>1</v>
      </c>
      <c r="B592" s="52" t="s">
        <v>111</v>
      </c>
      <c r="C592" s="53">
        <v>159070.41</v>
      </c>
      <c r="D592" s="47">
        <v>0.10614599999999999</v>
      </c>
      <c r="E592" s="50"/>
    </row>
    <row r="593" spans="1:5" ht="15.6" x14ac:dyDescent="0.3">
      <c r="A593" s="54" t="s">
        <v>4</v>
      </c>
      <c r="B593" s="52" t="s">
        <v>111</v>
      </c>
      <c r="C593" s="53">
        <v>157095.5</v>
      </c>
      <c r="D593" s="47">
        <v>0.10482799999999999</v>
      </c>
      <c r="E593" s="50"/>
    </row>
    <row r="594" spans="1:5" ht="15.6" x14ac:dyDescent="0.3">
      <c r="A594" s="54" t="s">
        <v>8</v>
      </c>
      <c r="B594" s="52" t="s">
        <v>111</v>
      </c>
      <c r="C594" s="53">
        <v>127367.48</v>
      </c>
      <c r="D594" s="47">
        <v>8.4990999999999997E-2</v>
      </c>
      <c r="E594" s="50"/>
    </row>
    <row r="595" spans="1:5" ht="15.6" x14ac:dyDescent="0.3">
      <c r="A595" s="54" t="s">
        <v>0</v>
      </c>
      <c r="B595" s="52" t="s">
        <v>111</v>
      </c>
      <c r="C595" s="53">
        <v>120203.08</v>
      </c>
      <c r="D595" s="47">
        <v>8.0210000000000004E-2</v>
      </c>
      <c r="E595" s="50"/>
    </row>
    <row r="596" spans="1:5" ht="15.6" x14ac:dyDescent="0.3">
      <c r="A596" s="54" t="s">
        <v>3</v>
      </c>
      <c r="B596" s="52" t="s">
        <v>111</v>
      </c>
      <c r="C596" s="53">
        <v>113023.99</v>
      </c>
      <c r="D596" s="47">
        <v>7.5419E-2</v>
      </c>
      <c r="E596" s="50"/>
    </row>
    <row r="597" spans="1:5" ht="15.6" x14ac:dyDescent="0.3">
      <c r="A597" s="54" t="s">
        <v>2</v>
      </c>
      <c r="B597" s="52" t="s">
        <v>111</v>
      </c>
      <c r="C597" s="53">
        <v>108087.62</v>
      </c>
      <c r="D597" s="47">
        <v>7.2125000000000009E-2</v>
      </c>
      <c r="E597" s="50"/>
    </row>
    <row r="598" spans="1:5" ht="15.6" x14ac:dyDescent="0.3">
      <c r="A598" s="54" t="s">
        <v>6</v>
      </c>
      <c r="B598" s="52" t="s">
        <v>111</v>
      </c>
      <c r="C598" s="53">
        <v>103751.86</v>
      </c>
      <c r="D598" s="47">
        <v>6.9232000000000002E-2</v>
      </c>
      <c r="E598" s="50"/>
    </row>
    <row r="599" spans="1:5" ht="15.6" x14ac:dyDescent="0.3">
      <c r="A599" s="54" t="s">
        <v>13</v>
      </c>
      <c r="B599" s="52" t="s">
        <v>111</v>
      </c>
      <c r="C599" s="53">
        <v>62216.88</v>
      </c>
      <c r="D599" s="47">
        <v>4.1516000000000004E-2</v>
      </c>
      <c r="E599" s="50"/>
    </row>
    <row r="600" spans="1:5" ht="15.6" x14ac:dyDescent="0.3">
      <c r="A600" s="54" t="s">
        <v>12</v>
      </c>
      <c r="B600" s="52" t="s">
        <v>111</v>
      </c>
      <c r="C600" s="53">
        <v>60409.97</v>
      </c>
      <c r="D600" s="47">
        <v>4.0311000000000007E-2</v>
      </c>
      <c r="E600" s="50"/>
    </row>
    <row r="601" spans="1:5" ht="15.6" x14ac:dyDescent="0.3">
      <c r="A601" s="54" t="s">
        <v>7</v>
      </c>
      <c r="B601" s="52" t="s">
        <v>111</v>
      </c>
      <c r="C601" s="53">
        <v>54545.46</v>
      </c>
      <c r="D601" s="47">
        <v>3.6396999999999999E-2</v>
      </c>
      <c r="E601" s="50"/>
    </row>
    <row r="602" spans="1:5" ht="15.6" x14ac:dyDescent="0.3">
      <c r="A602" s="54" t="s">
        <v>5</v>
      </c>
      <c r="B602" s="52" t="s">
        <v>111</v>
      </c>
      <c r="C602" s="53">
        <v>50918.99</v>
      </c>
      <c r="D602" s="47">
        <v>3.3978000000000001E-2</v>
      </c>
      <c r="E602" s="50"/>
    </row>
    <row r="603" spans="1:5" ht="15.6" x14ac:dyDescent="0.3">
      <c r="A603" s="54" t="s">
        <v>15</v>
      </c>
      <c r="B603" s="52" t="s">
        <v>111</v>
      </c>
      <c r="C603" s="53">
        <v>42307.48</v>
      </c>
      <c r="D603" s="47">
        <v>2.8231000000000003E-2</v>
      </c>
      <c r="E603" s="50"/>
    </row>
    <row r="604" spans="1:5" ht="15.6" x14ac:dyDescent="0.3">
      <c r="A604" s="54" t="s">
        <v>9</v>
      </c>
      <c r="B604" s="52" t="s">
        <v>111</v>
      </c>
      <c r="C604" s="53">
        <v>38067.69</v>
      </c>
      <c r="D604" s="47">
        <v>2.5402000000000001E-2</v>
      </c>
      <c r="E604" s="50"/>
    </row>
    <row r="605" spans="1:5" ht="15.6" x14ac:dyDescent="0.3">
      <c r="A605" s="54" t="s">
        <v>10</v>
      </c>
      <c r="B605" s="52" t="s">
        <v>111</v>
      </c>
      <c r="C605" s="53">
        <v>33299.43</v>
      </c>
      <c r="D605" s="47">
        <v>2.222E-2</v>
      </c>
      <c r="E605" s="50"/>
    </row>
    <row r="606" spans="1:5" ht="15.6" x14ac:dyDescent="0.3">
      <c r="A606" s="54" t="s">
        <v>20</v>
      </c>
      <c r="B606" s="52" t="s">
        <v>111</v>
      </c>
      <c r="C606" s="53">
        <v>30713.38</v>
      </c>
      <c r="D606" s="47">
        <v>2.0494999999999999E-2</v>
      </c>
      <c r="E606" s="50"/>
    </row>
    <row r="607" spans="1:5" ht="15.6" x14ac:dyDescent="0.3">
      <c r="A607" s="54" t="s">
        <v>16</v>
      </c>
      <c r="B607" s="52" t="s">
        <v>111</v>
      </c>
      <c r="C607" s="53">
        <v>28411.69</v>
      </c>
      <c r="D607" s="47">
        <v>1.8959E-2</v>
      </c>
      <c r="E607" s="50"/>
    </row>
    <row r="608" spans="1:5" ht="15.6" x14ac:dyDescent="0.3">
      <c r="A608" s="54" t="s">
        <v>11</v>
      </c>
      <c r="B608" s="52" t="s">
        <v>111</v>
      </c>
      <c r="C608" s="53">
        <v>26536.66</v>
      </c>
      <c r="D608" s="47">
        <v>1.7707999999999998E-2</v>
      </c>
      <c r="E608" s="50"/>
    </row>
    <row r="609" spans="1:5" ht="15.6" x14ac:dyDescent="0.3">
      <c r="A609" s="54" t="s">
        <v>146</v>
      </c>
      <c r="B609" s="52" t="s">
        <v>111</v>
      </c>
      <c r="C609" s="53">
        <v>23068.48</v>
      </c>
      <c r="D609" s="47">
        <v>1.5392999999999999E-2</v>
      </c>
      <c r="E609" s="50"/>
    </row>
    <row r="610" spans="1:5" ht="15.6" x14ac:dyDescent="0.3">
      <c r="A610" s="54" t="s">
        <v>159</v>
      </c>
      <c r="B610" s="52" t="s">
        <v>111</v>
      </c>
      <c r="C610" s="53">
        <v>16648.990000000002</v>
      </c>
      <c r="D610" s="47">
        <v>1.111E-2</v>
      </c>
      <c r="E610" s="50"/>
    </row>
    <row r="611" spans="1:5" ht="15.6" x14ac:dyDescent="0.3">
      <c r="A611" s="54" t="s">
        <v>14</v>
      </c>
      <c r="B611" s="52" t="s">
        <v>111</v>
      </c>
      <c r="C611" s="53">
        <v>16389.02</v>
      </c>
      <c r="D611" s="47">
        <v>1.0936E-2</v>
      </c>
      <c r="E611" s="50"/>
    </row>
    <row r="612" spans="1:5" ht="15.6" x14ac:dyDescent="0.3">
      <c r="A612" s="54" t="s">
        <v>160</v>
      </c>
      <c r="B612" s="52" t="s">
        <v>111</v>
      </c>
      <c r="C612" s="53">
        <v>14454.93</v>
      </c>
      <c r="D612" s="47">
        <v>9.6460000000000001E-3</v>
      </c>
      <c r="E612" s="50"/>
    </row>
    <row r="613" spans="1:5" ht="15.6" x14ac:dyDescent="0.3">
      <c r="A613" s="54" t="s">
        <v>24</v>
      </c>
      <c r="B613" s="52" t="s">
        <v>111</v>
      </c>
      <c r="C613" s="53">
        <v>9338.86</v>
      </c>
      <c r="D613" s="47">
        <v>6.2319999999999997E-3</v>
      </c>
      <c r="E613" s="50"/>
    </row>
    <row r="614" spans="1:5" ht="15.6" x14ac:dyDescent="0.3">
      <c r="A614" s="54" t="s">
        <v>21</v>
      </c>
      <c r="B614" s="52" t="s">
        <v>111</v>
      </c>
      <c r="C614" s="53">
        <v>8278.75</v>
      </c>
      <c r="D614" s="47">
        <v>5.5240000000000003E-3</v>
      </c>
      <c r="E614" s="50"/>
    </row>
    <row r="615" spans="1:5" ht="15.6" x14ac:dyDescent="0.3">
      <c r="A615" s="54" t="s">
        <v>19</v>
      </c>
      <c r="B615" s="52" t="s">
        <v>111</v>
      </c>
      <c r="C615" s="53">
        <v>7261.34</v>
      </c>
      <c r="D615" s="47">
        <v>4.8449999999999995E-3</v>
      </c>
      <c r="E615" s="50"/>
    </row>
    <row r="616" spans="1:5" ht="15.6" x14ac:dyDescent="0.3">
      <c r="A616" s="54" t="s">
        <v>30</v>
      </c>
      <c r="B616" s="52" t="s">
        <v>111</v>
      </c>
      <c r="C616" s="53">
        <v>6793.85</v>
      </c>
      <c r="D616" s="47">
        <v>4.5329999999999997E-3</v>
      </c>
      <c r="E616" s="50"/>
    </row>
    <row r="617" spans="1:5" ht="15.6" x14ac:dyDescent="0.3">
      <c r="A617" s="54" t="s">
        <v>38</v>
      </c>
      <c r="B617" s="52" t="s">
        <v>111</v>
      </c>
      <c r="C617" s="53">
        <v>5830.76</v>
      </c>
      <c r="D617" s="47">
        <v>3.8909999999999999E-3</v>
      </c>
      <c r="E617" s="50"/>
    </row>
    <row r="618" spans="1:5" ht="15.6" x14ac:dyDescent="0.3">
      <c r="A618" s="54" t="s">
        <v>59</v>
      </c>
      <c r="B618" s="52" t="s">
        <v>111</v>
      </c>
      <c r="C618" s="53">
        <v>5284.63</v>
      </c>
      <c r="D618" s="47">
        <v>3.5260000000000001E-3</v>
      </c>
      <c r="E618" s="50"/>
    </row>
    <row r="619" spans="1:5" ht="15.6" x14ac:dyDescent="0.3">
      <c r="A619" s="54" t="s">
        <v>25</v>
      </c>
      <c r="B619" s="52" t="s">
        <v>111</v>
      </c>
      <c r="C619" s="53">
        <v>5283.62</v>
      </c>
      <c r="D619" s="47">
        <v>3.5260000000000001E-3</v>
      </c>
      <c r="E619" s="50"/>
    </row>
    <row r="620" spans="1:5" ht="15.6" x14ac:dyDescent="0.3">
      <c r="A620" s="54" t="s">
        <v>130</v>
      </c>
      <c r="B620" s="52" t="s">
        <v>111</v>
      </c>
      <c r="C620" s="53">
        <v>4780.2299999999996</v>
      </c>
      <c r="D620" s="47">
        <v>3.1900000000000001E-3</v>
      </c>
      <c r="E620" s="50"/>
    </row>
    <row r="621" spans="1:5" ht="15.6" x14ac:dyDescent="0.3">
      <c r="A621" s="54" t="s">
        <v>74</v>
      </c>
      <c r="B621" s="52" t="s">
        <v>111</v>
      </c>
      <c r="C621" s="53">
        <v>4531.8999999999996</v>
      </c>
      <c r="D621" s="47">
        <v>3.0240000000000002E-3</v>
      </c>
      <c r="E621" s="50"/>
    </row>
    <row r="622" spans="1:5" ht="15.6" x14ac:dyDescent="0.3">
      <c r="A622" s="54" t="s">
        <v>161</v>
      </c>
      <c r="B622" s="52" t="s">
        <v>111</v>
      </c>
      <c r="C622" s="53">
        <v>4380.07</v>
      </c>
      <c r="D622" s="47">
        <v>2.9230000000000003E-3</v>
      </c>
      <c r="E622" s="50"/>
    </row>
    <row r="623" spans="1:5" ht="15.6" x14ac:dyDescent="0.3">
      <c r="A623" s="54" t="s">
        <v>45</v>
      </c>
      <c r="B623" s="52" t="s">
        <v>111</v>
      </c>
      <c r="C623" s="53">
        <v>4208.95</v>
      </c>
      <c r="D623" s="47">
        <v>2.8089999999999999E-3</v>
      </c>
      <c r="E623" s="50"/>
    </row>
    <row r="624" spans="1:5" ht="15.6" x14ac:dyDescent="0.3">
      <c r="A624" s="54" t="s">
        <v>39</v>
      </c>
      <c r="B624" s="52" t="s">
        <v>111</v>
      </c>
      <c r="C624" s="53">
        <v>3798.37</v>
      </c>
      <c r="D624" s="47">
        <v>2.5349999999999999E-3</v>
      </c>
      <c r="E624" s="50"/>
    </row>
    <row r="625" spans="1:5" ht="15.6" x14ac:dyDescent="0.3">
      <c r="A625" s="54" t="s">
        <v>26</v>
      </c>
      <c r="B625" s="52" t="s">
        <v>111</v>
      </c>
      <c r="C625" s="53">
        <v>3761.06</v>
      </c>
      <c r="D625" s="47">
        <v>2.5100000000000001E-3</v>
      </c>
      <c r="E625" s="50"/>
    </row>
    <row r="626" spans="1:5" ht="15.6" x14ac:dyDescent="0.3">
      <c r="A626" s="54" t="s">
        <v>29</v>
      </c>
      <c r="B626" s="52" t="s">
        <v>111</v>
      </c>
      <c r="C626" s="53">
        <v>3179.55</v>
      </c>
      <c r="D626" s="47">
        <v>2.1220000000000002E-3</v>
      </c>
      <c r="E626" s="50"/>
    </row>
    <row r="627" spans="1:5" ht="15.6" x14ac:dyDescent="0.3">
      <c r="A627" s="54" t="s">
        <v>32</v>
      </c>
      <c r="B627" s="52" t="s">
        <v>111</v>
      </c>
      <c r="C627" s="53">
        <v>3121.79</v>
      </c>
      <c r="D627" s="47">
        <v>2.0830000000000002E-3</v>
      </c>
      <c r="E627" s="50"/>
    </row>
    <row r="628" spans="1:5" ht="15.6" x14ac:dyDescent="0.3">
      <c r="A628" s="54" t="s">
        <v>64</v>
      </c>
      <c r="B628" s="52" t="s">
        <v>111</v>
      </c>
      <c r="C628" s="53">
        <v>2974.55</v>
      </c>
      <c r="D628" s="47">
        <v>1.9850000000000002E-3</v>
      </c>
      <c r="E628" s="50"/>
    </row>
    <row r="629" spans="1:5" ht="15.6" x14ac:dyDescent="0.3">
      <c r="A629" s="54" t="s">
        <v>42</v>
      </c>
      <c r="B629" s="52" t="s">
        <v>111</v>
      </c>
      <c r="C629" s="53">
        <v>2324.98</v>
      </c>
      <c r="D629" s="47">
        <v>1.5509999999999999E-3</v>
      </c>
      <c r="E629" s="50"/>
    </row>
    <row r="630" spans="1:5" ht="15.6" x14ac:dyDescent="0.3">
      <c r="A630" s="54" t="s">
        <v>61</v>
      </c>
      <c r="B630" s="52" t="s">
        <v>111</v>
      </c>
      <c r="C630" s="53">
        <v>2291.5</v>
      </c>
      <c r="D630" s="47">
        <v>1.529E-3</v>
      </c>
      <c r="E630" s="50"/>
    </row>
    <row r="631" spans="1:5" ht="15.6" x14ac:dyDescent="0.3">
      <c r="A631" s="54" t="s">
        <v>54</v>
      </c>
      <c r="B631" s="52" t="s">
        <v>111</v>
      </c>
      <c r="C631" s="53">
        <v>1833.45</v>
      </c>
      <c r="D631" s="47">
        <v>1.2230000000000001E-3</v>
      </c>
      <c r="E631" s="50"/>
    </row>
    <row r="632" spans="1:5" ht="15.6" x14ac:dyDescent="0.3">
      <c r="A632" s="54" t="s">
        <v>44</v>
      </c>
      <c r="B632" s="52" t="s">
        <v>111</v>
      </c>
      <c r="C632" s="53">
        <v>1761.68</v>
      </c>
      <c r="D632" s="47">
        <v>1.176E-3</v>
      </c>
      <c r="E632" s="50"/>
    </row>
    <row r="633" spans="1:5" ht="15.6" x14ac:dyDescent="0.3">
      <c r="A633" s="54" t="s">
        <v>41</v>
      </c>
      <c r="B633" s="52" t="s">
        <v>111</v>
      </c>
      <c r="C633" s="53">
        <v>1510.2</v>
      </c>
      <c r="D633" s="47">
        <v>1.008E-3</v>
      </c>
      <c r="E633" s="50"/>
    </row>
    <row r="634" spans="1:5" ht="15.6" x14ac:dyDescent="0.3">
      <c r="A634" s="54" t="s">
        <v>40</v>
      </c>
      <c r="B634" s="52" t="s">
        <v>111</v>
      </c>
      <c r="C634" s="53">
        <v>1377.74</v>
      </c>
      <c r="D634" s="47">
        <v>9.19E-4</v>
      </c>
      <c r="E634" s="50"/>
    </row>
    <row r="635" spans="1:5" ht="15.6" x14ac:dyDescent="0.3">
      <c r="A635" s="54" t="s">
        <v>46</v>
      </c>
      <c r="B635" s="52" t="s">
        <v>111</v>
      </c>
      <c r="C635" s="53">
        <v>1363.16</v>
      </c>
      <c r="D635" s="47">
        <v>9.1E-4</v>
      </c>
      <c r="E635" s="50"/>
    </row>
    <row r="636" spans="1:5" ht="15.6" x14ac:dyDescent="0.3">
      <c r="A636" s="54" t="s">
        <v>47</v>
      </c>
      <c r="B636" s="52" t="s">
        <v>111</v>
      </c>
      <c r="C636" s="53">
        <v>1293.05</v>
      </c>
      <c r="D636" s="47">
        <v>8.6300000000000005E-4</v>
      </c>
      <c r="E636" s="50"/>
    </row>
    <row r="637" spans="1:5" ht="15.6" x14ac:dyDescent="0.3">
      <c r="A637" s="54" t="s">
        <v>37</v>
      </c>
      <c r="B637" s="52" t="s">
        <v>111</v>
      </c>
      <c r="C637" s="53">
        <v>1240.95</v>
      </c>
      <c r="D637" s="47">
        <v>8.2799999999999996E-4</v>
      </c>
      <c r="E637" s="50"/>
    </row>
    <row r="638" spans="1:5" ht="15.6" x14ac:dyDescent="0.3">
      <c r="A638" s="54" t="s">
        <v>55</v>
      </c>
      <c r="B638" s="52" t="s">
        <v>111</v>
      </c>
      <c r="C638" s="53">
        <v>1026.6500000000001</v>
      </c>
      <c r="D638" s="47">
        <v>6.8500000000000006E-4</v>
      </c>
      <c r="E638" s="50"/>
    </row>
    <row r="639" spans="1:5" ht="15.6" x14ac:dyDescent="0.3">
      <c r="A639" s="54" t="s">
        <v>17</v>
      </c>
      <c r="B639" s="52" t="s">
        <v>111</v>
      </c>
      <c r="C639" s="53">
        <v>960.98</v>
      </c>
      <c r="D639" s="47">
        <v>6.4100000000000008E-4</v>
      </c>
      <c r="E639" s="50"/>
    </row>
    <row r="640" spans="1:5" ht="15.6" x14ac:dyDescent="0.3">
      <c r="A640" s="54" t="s">
        <v>50</v>
      </c>
      <c r="B640" s="52" t="s">
        <v>111</v>
      </c>
      <c r="C640" s="53">
        <v>898.1</v>
      </c>
      <c r="D640" s="47">
        <v>5.9900000000000003E-4</v>
      </c>
      <c r="E640" s="50"/>
    </row>
    <row r="641" spans="1:5" ht="15.6" x14ac:dyDescent="0.3">
      <c r="A641" s="54" t="s">
        <v>51</v>
      </c>
      <c r="B641" s="52" t="s">
        <v>111</v>
      </c>
      <c r="C641" s="53">
        <v>879.51</v>
      </c>
      <c r="D641" s="47">
        <v>5.8700000000000007E-4</v>
      </c>
      <c r="E641" s="50"/>
    </row>
    <row r="642" spans="1:5" ht="15.6" x14ac:dyDescent="0.3">
      <c r="A642" s="54" t="s">
        <v>60</v>
      </c>
      <c r="B642" s="52" t="s">
        <v>111</v>
      </c>
      <c r="C642" s="53">
        <v>780.75</v>
      </c>
      <c r="D642" s="47">
        <v>5.2099999999999998E-4</v>
      </c>
      <c r="E642" s="50"/>
    </row>
    <row r="643" spans="1:5" ht="15.6" x14ac:dyDescent="0.3">
      <c r="A643" s="54" t="s">
        <v>23</v>
      </c>
      <c r="B643" s="52" t="s">
        <v>111</v>
      </c>
      <c r="C643" s="53">
        <v>778.4</v>
      </c>
      <c r="D643" s="47">
        <v>5.1900000000000004E-4</v>
      </c>
      <c r="E643" s="50"/>
    </row>
    <row r="644" spans="1:5" ht="15.6" x14ac:dyDescent="0.3">
      <c r="A644" s="54" t="s">
        <v>145</v>
      </c>
      <c r="B644" s="52" t="s">
        <v>111</v>
      </c>
      <c r="C644" s="53">
        <v>703.22</v>
      </c>
      <c r="D644" s="47">
        <v>4.6899999999999996E-4</v>
      </c>
      <c r="E644" s="50"/>
    </row>
    <row r="645" spans="1:5" ht="15.6" x14ac:dyDescent="0.3">
      <c r="A645" s="54" t="s">
        <v>96</v>
      </c>
      <c r="B645" s="52" t="s">
        <v>111</v>
      </c>
      <c r="C645" s="53">
        <v>629.14</v>
      </c>
      <c r="D645" s="47">
        <v>4.2000000000000002E-4</v>
      </c>
      <c r="E645" s="50"/>
    </row>
    <row r="646" spans="1:5" ht="15.6" x14ac:dyDescent="0.3">
      <c r="A646" s="54" t="s">
        <v>31</v>
      </c>
      <c r="B646" s="52" t="s">
        <v>111</v>
      </c>
      <c r="C646" s="53">
        <v>525.36</v>
      </c>
      <c r="D646" s="47">
        <v>3.5099999999999997E-4</v>
      </c>
      <c r="E646" s="50"/>
    </row>
    <row r="647" spans="1:5" ht="15.6" x14ac:dyDescent="0.3">
      <c r="A647" s="54" t="s">
        <v>53</v>
      </c>
      <c r="B647" s="52" t="s">
        <v>111</v>
      </c>
      <c r="C647" s="53">
        <v>520.70000000000005</v>
      </c>
      <c r="D647" s="47">
        <v>3.4700000000000003E-4</v>
      </c>
      <c r="E647" s="50"/>
    </row>
    <row r="648" spans="1:5" ht="15.6" x14ac:dyDescent="0.3">
      <c r="A648" s="54" t="s">
        <v>35</v>
      </c>
      <c r="B648" s="52" t="s">
        <v>111</v>
      </c>
      <c r="C648" s="53">
        <v>511.7</v>
      </c>
      <c r="D648" s="47">
        <v>3.4099999999999999E-4</v>
      </c>
      <c r="E648" s="50"/>
    </row>
    <row r="649" spans="1:5" ht="15.6" x14ac:dyDescent="0.3">
      <c r="A649" s="54" t="s">
        <v>63</v>
      </c>
      <c r="B649" s="52" t="s">
        <v>111</v>
      </c>
      <c r="C649" s="53">
        <v>466.84</v>
      </c>
      <c r="D649" s="47">
        <v>3.1199999999999999E-4</v>
      </c>
      <c r="E649" s="50"/>
    </row>
    <row r="650" spans="1:5" ht="15.6" x14ac:dyDescent="0.3">
      <c r="A650" s="54" t="s">
        <v>43</v>
      </c>
      <c r="B650" s="52" t="s">
        <v>111</v>
      </c>
      <c r="C650" s="53">
        <v>419.36</v>
      </c>
      <c r="D650" s="47">
        <v>2.8000000000000003E-4</v>
      </c>
      <c r="E650" s="50"/>
    </row>
    <row r="651" spans="1:5" ht="15.6" x14ac:dyDescent="0.3">
      <c r="A651" s="54" t="s">
        <v>62</v>
      </c>
      <c r="B651" s="52" t="s">
        <v>111</v>
      </c>
      <c r="C651" s="53">
        <v>395.16</v>
      </c>
      <c r="D651" s="47">
        <v>2.6400000000000002E-4</v>
      </c>
      <c r="E651" s="50"/>
    </row>
    <row r="652" spans="1:5" ht="15.6" x14ac:dyDescent="0.3">
      <c r="A652" s="54" t="s">
        <v>84</v>
      </c>
      <c r="B652" s="52" t="s">
        <v>111</v>
      </c>
      <c r="C652" s="53">
        <v>378.97</v>
      </c>
      <c r="D652" s="47">
        <v>2.5299999999999997E-4</v>
      </c>
      <c r="E652" s="50"/>
    </row>
    <row r="653" spans="1:5" ht="15.6" x14ac:dyDescent="0.3">
      <c r="A653" s="54" t="s">
        <v>83</v>
      </c>
      <c r="B653" s="52" t="s">
        <v>111</v>
      </c>
      <c r="C653" s="53">
        <v>367.68</v>
      </c>
      <c r="D653" s="47">
        <v>2.4499999999999999E-4</v>
      </c>
      <c r="E653" s="50"/>
    </row>
    <row r="654" spans="1:5" ht="15.6" x14ac:dyDescent="0.3">
      <c r="A654" s="54" t="s">
        <v>56</v>
      </c>
      <c r="B654" s="52" t="s">
        <v>111</v>
      </c>
      <c r="C654" s="53">
        <v>359.99</v>
      </c>
      <c r="D654" s="47">
        <v>2.4000000000000001E-4</v>
      </c>
      <c r="E654" s="50"/>
    </row>
    <row r="655" spans="1:5" ht="15.6" x14ac:dyDescent="0.3">
      <c r="A655" s="54" t="s">
        <v>33</v>
      </c>
      <c r="B655" s="52" t="s">
        <v>111</v>
      </c>
      <c r="C655" s="53">
        <v>348.22</v>
      </c>
      <c r="D655" s="47">
        <v>2.3199999999999997E-4</v>
      </c>
      <c r="E655" s="50"/>
    </row>
    <row r="656" spans="1:5" ht="15.6" x14ac:dyDescent="0.3">
      <c r="A656" s="54" t="s">
        <v>162</v>
      </c>
      <c r="B656" s="52" t="s">
        <v>111</v>
      </c>
      <c r="C656" s="53">
        <v>306.72000000000003</v>
      </c>
      <c r="D656" s="47">
        <v>2.05E-4</v>
      </c>
      <c r="E656" s="50"/>
    </row>
    <row r="657" spans="1:5" ht="15.6" x14ac:dyDescent="0.3">
      <c r="A657" s="54" t="s">
        <v>27</v>
      </c>
      <c r="B657" s="52" t="s">
        <v>111</v>
      </c>
      <c r="C657" s="53">
        <v>263.58</v>
      </c>
      <c r="D657" s="47">
        <v>1.7600000000000002E-4</v>
      </c>
      <c r="E657" s="50"/>
    </row>
    <row r="658" spans="1:5" ht="15.6" x14ac:dyDescent="0.3">
      <c r="A658" s="54" t="s">
        <v>28</v>
      </c>
      <c r="B658" s="52" t="s">
        <v>111</v>
      </c>
      <c r="C658" s="53">
        <v>223.62</v>
      </c>
      <c r="D658" s="47">
        <v>1.4899999999999999E-4</v>
      </c>
      <c r="E658" s="50"/>
    </row>
    <row r="659" spans="1:5" ht="15.6" x14ac:dyDescent="0.3">
      <c r="A659" s="54" t="s">
        <v>149</v>
      </c>
      <c r="B659" s="52" t="s">
        <v>111</v>
      </c>
      <c r="C659" s="53">
        <v>215.82</v>
      </c>
      <c r="D659" s="47">
        <v>1.44E-4</v>
      </c>
      <c r="E659" s="50"/>
    </row>
    <row r="660" spans="1:5" ht="15.6" x14ac:dyDescent="0.3">
      <c r="A660" s="54" t="s">
        <v>37</v>
      </c>
      <c r="B660" s="52" t="s">
        <v>111</v>
      </c>
      <c r="C660" s="53">
        <v>207.48</v>
      </c>
      <c r="D660" s="47">
        <v>1.3799999999999999E-4</v>
      </c>
      <c r="E660" s="50"/>
    </row>
    <row r="661" spans="1:5" ht="15.6" x14ac:dyDescent="0.3">
      <c r="A661" s="54" t="s">
        <v>91</v>
      </c>
      <c r="B661" s="52" t="s">
        <v>111</v>
      </c>
      <c r="C661" s="53">
        <v>196.8</v>
      </c>
      <c r="D661" s="47">
        <v>1.3100000000000001E-4</v>
      </c>
      <c r="E661" s="50"/>
    </row>
    <row r="662" spans="1:5" ht="15.6" x14ac:dyDescent="0.3">
      <c r="A662" s="54" t="s">
        <v>88</v>
      </c>
      <c r="B662" s="52" t="s">
        <v>111</v>
      </c>
      <c r="C662" s="53">
        <v>192.7</v>
      </c>
      <c r="D662" s="47">
        <v>1.2899999999999999E-4</v>
      </c>
      <c r="E662" s="50"/>
    </row>
    <row r="663" spans="1:5" ht="15.6" x14ac:dyDescent="0.3">
      <c r="A663" s="54" t="s">
        <v>76</v>
      </c>
      <c r="B663" s="52" t="s">
        <v>111</v>
      </c>
      <c r="C663" s="53">
        <v>181.68</v>
      </c>
      <c r="D663" s="47">
        <v>1.21E-4</v>
      </c>
      <c r="E663" s="50"/>
    </row>
    <row r="664" spans="1:5" ht="15.6" x14ac:dyDescent="0.3">
      <c r="A664" s="54" t="s">
        <v>58</v>
      </c>
      <c r="B664" s="52" t="s">
        <v>111</v>
      </c>
      <c r="C664" s="53">
        <v>174.81</v>
      </c>
      <c r="D664" s="47">
        <v>1.17E-4</v>
      </c>
      <c r="E664" s="50"/>
    </row>
    <row r="665" spans="1:5" ht="15.6" x14ac:dyDescent="0.3">
      <c r="A665" s="54" t="s">
        <v>82</v>
      </c>
      <c r="B665" s="52" t="s">
        <v>111</v>
      </c>
      <c r="C665" s="53">
        <v>174.64</v>
      </c>
      <c r="D665" s="47">
        <v>1.17E-4</v>
      </c>
      <c r="E665" s="50"/>
    </row>
    <row r="666" spans="1:5" ht="15.6" x14ac:dyDescent="0.3">
      <c r="A666" s="54" t="s">
        <v>67</v>
      </c>
      <c r="B666" s="52" t="s">
        <v>111</v>
      </c>
      <c r="C666" s="53">
        <v>163.80000000000001</v>
      </c>
      <c r="D666" s="47">
        <v>1.0899999999999999E-4</v>
      </c>
      <c r="E666" s="50"/>
    </row>
    <row r="667" spans="1:5" ht="15.6" x14ac:dyDescent="0.3">
      <c r="A667" s="54" t="s">
        <v>93</v>
      </c>
      <c r="B667" s="52" t="s">
        <v>111</v>
      </c>
      <c r="C667" s="53">
        <v>159.6</v>
      </c>
      <c r="D667" s="47">
        <v>1.06E-4</v>
      </c>
      <c r="E667" s="50"/>
    </row>
    <row r="668" spans="1:5" ht="15.6" x14ac:dyDescent="0.3">
      <c r="A668" s="54" t="s">
        <v>78</v>
      </c>
      <c r="B668" s="52" t="s">
        <v>111</v>
      </c>
      <c r="C668" s="53">
        <v>148.4</v>
      </c>
      <c r="D668" s="47">
        <v>9.9000000000000008E-5</v>
      </c>
      <c r="E668" s="50"/>
    </row>
    <row r="669" spans="1:5" ht="15.6" x14ac:dyDescent="0.3">
      <c r="A669" s="54" t="s">
        <v>34</v>
      </c>
      <c r="B669" s="52" t="s">
        <v>111</v>
      </c>
      <c r="C669" s="53">
        <v>131.66999999999999</v>
      </c>
      <c r="D669" s="47">
        <v>8.8000000000000011E-5</v>
      </c>
      <c r="E669" s="50"/>
    </row>
    <row r="670" spans="1:5" ht="15.6" x14ac:dyDescent="0.3">
      <c r="A670" s="54" t="s">
        <v>79</v>
      </c>
      <c r="B670" s="52" t="s">
        <v>111</v>
      </c>
      <c r="C670" s="53">
        <v>110.1</v>
      </c>
      <c r="D670" s="47">
        <v>7.2999999999999999E-5</v>
      </c>
      <c r="E670" s="50"/>
    </row>
    <row r="671" spans="1:5" ht="15.6" x14ac:dyDescent="0.3">
      <c r="A671" s="54" t="s">
        <v>97</v>
      </c>
      <c r="B671" s="52" t="s">
        <v>111</v>
      </c>
      <c r="C671" s="53">
        <v>74.88</v>
      </c>
      <c r="D671" s="47">
        <v>5.0000000000000002E-5</v>
      </c>
      <c r="E671" s="50"/>
    </row>
    <row r="672" spans="1:5" ht="15.6" x14ac:dyDescent="0.3">
      <c r="A672" s="54" t="s">
        <v>133</v>
      </c>
      <c r="B672" s="52" t="s">
        <v>111</v>
      </c>
      <c r="C672" s="53">
        <v>68</v>
      </c>
      <c r="D672" s="47">
        <v>4.4999999999999996E-5</v>
      </c>
      <c r="E672" s="50"/>
    </row>
    <row r="673" spans="1:5" ht="15.6" x14ac:dyDescent="0.3">
      <c r="A673" s="54" t="s">
        <v>81</v>
      </c>
      <c r="B673" s="52" t="s">
        <v>111</v>
      </c>
      <c r="C673" s="53">
        <v>52.8</v>
      </c>
      <c r="D673" s="47">
        <v>3.5000000000000004E-5</v>
      </c>
      <c r="E673" s="50"/>
    </row>
    <row r="674" spans="1:5" ht="15.6" x14ac:dyDescent="0.3">
      <c r="A674" s="54" t="s">
        <v>135</v>
      </c>
      <c r="B674" s="52" t="s">
        <v>111</v>
      </c>
      <c r="C674" s="53">
        <v>47.16</v>
      </c>
      <c r="D674" s="47">
        <v>3.1000000000000001E-5</v>
      </c>
      <c r="E674" s="50"/>
    </row>
    <row r="675" spans="1:5" ht="15.6" x14ac:dyDescent="0.3">
      <c r="A675" s="54" t="s">
        <v>66</v>
      </c>
      <c r="B675" s="52" t="s">
        <v>111</v>
      </c>
      <c r="C675" s="53">
        <v>46.8</v>
      </c>
      <c r="D675" s="47">
        <v>3.1000000000000001E-5</v>
      </c>
      <c r="E675" s="50"/>
    </row>
    <row r="676" spans="1:5" ht="15.6" x14ac:dyDescent="0.3">
      <c r="A676" s="54" t="s">
        <v>22</v>
      </c>
      <c r="B676" s="52" t="s">
        <v>111</v>
      </c>
      <c r="C676" s="53">
        <v>39.950000000000003</v>
      </c>
      <c r="D676" s="47">
        <v>2.7000000000000002E-5</v>
      </c>
      <c r="E676" s="50"/>
    </row>
    <row r="677" spans="1:5" ht="15.6" x14ac:dyDescent="0.3">
      <c r="A677" s="54" t="s">
        <v>75</v>
      </c>
      <c r="B677" s="52" t="s">
        <v>111</v>
      </c>
      <c r="C677" s="53">
        <v>38.04</v>
      </c>
      <c r="D677" s="47">
        <v>2.5000000000000001E-5</v>
      </c>
      <c r="E677" s="50"/>
    </row>
    <row r="678" spans="1:5" ht="15.6" x14ac:dyDescent="0.3">
      <c r="A678" s="54" t="s">
        <v>49</v>
      </c>
      <c r="B678" s="52" t="s">
        <v>111</v>
      </c>
      <c r="C678" s="53">
        <v>29.46</v>
      </c>
      <c r="D678" s="47">
        <v>2.0000000000000002E-5</v>
      </c>
      <c r="E678" s="50"/>
    </row>
    <row r="679" spans="1:5" ht="15.6" x14ac:dyDescent="0.3">
      <c r="A679" s="54" t="s">
        <v>85</v>
      </c>
      <c r="B679" s="52" t="s">
        <v>111</v>
      </c>
      <c r="C679" s="53">
        <v>13.14</v>
      </c>
      <c r="D679" s="47">
        <v>9.0000000000000002E-6</v>
      </c>
      <c r="E679" s="50"/>
    </row>
    <row r="680" spans="1:5" ht="15.6" x14ac:dyDescent="0.3">
      <c r="A680" s="54" t="s">
        <v>1</v>
      </c>
      <c r="B680" s="52" t="s">
        <v>112</v>
      </c>
      <c r="C680" s="53">
        <v>169623.37</v>
      </c>
      <c r="D680" s="56">
        <v>0.123141</v>
      </c>
    </row>
    <row r="681" spans="1:5" ht="15.6" x14ac:dyDescent="0.3">
      <c r="A681" s="54" t="s">
        <v>4</v>
      </c>
      <c r="B681" s="52" t="s">
        <v>112</v>
      </c>
      <c r="C681" s="53">
        <v>118969.94</v>
      </c>
      <c r="D681" s="56">
        <v>8.6367999999999986E-2</v>
      </c>
    </row>
    <row r="682" spans="1:5" ht="15.6" x14ac:dyDescent="0.3">
      <c r="A682" s="54" t="s">
        <v>0</v>
      </c>
      <c r="B682" s="52" t="s">
        <v>112</v>
      </c>
      <c r="C682" s="53">
        <v>115557.73</v>
      </c>
      <c r="D682" s="56">
        <v>8.3890999999999993E-2</v>
      </c>
    </row>
    <row r="683" spans="1:5" ht="15.6" x14ac:dyDescent="0.3">
      <c r="A683" s="54" t="s">
        <v>3</v>
      </c>
      <c r="B683" s="52" t="s">
        <v>112</v>
      </c>
      <c r="C683" s="53">
        <v>113489.14</v>
      </c>
      <c r="D683" s="56">
        <v>8.238899999999999E-2</v>
      </c>
    </row>
    <row r="684" spans="1:5" ht="15.6" x14ac:dyDescent="0.3">
      <c r="A684" s="54" t="s">
        <v>2</v>
      </c>
      <c r="B684" s="52" t="s">
        <v>112</v>
      </c>
      <c r="C684" s="53">
        <v>106812.79</v>
      </c>
      <c r="D684" s="56">
        <v>7.7543000000000001E-2</v>
      </c>
    </row>
    <row r="685" spans="1:5" ht="15.6" x14ac:dyDescent="0.3">
      <c r="A685" s="54" t="s">
        <v>8</v>
      </c>
      <c r="B685" s="52" t="s">
        <v>112</v>
      </c>
      <c r="C685" s="53">
        <v>84617.13</v>
      </c>
      <c r="D685" s="56">
        <v>6.1428999999999997E-2</v>
      </c>
    </row>
    <row r="686" spans="1:5" ht="15.6" x14ac:dyDescent="0.3">
      <c r="A686" s="54" t="s">
        <v>6</v>
      </c>
      <c r="B686" s="52" t="s">
        <v>112</v>
      </c>
      <c r="C686" s="53">
        <v>49105.48</v>
      </c>
      <c r="D686" s="56">
        <v>3.5649E-2</v>
      </c>
    </row>
    <row r="687" spans="1:5" ht="15.6" x14ac:dyDescent="0.3">
      <c r="A687" s="54" t="s">
        <v>11</v>
      </c>
      <c r="B687" s="52" t="s">
        <v>112</v>
      </c>
      <c r="C687" s="53">
        <v>48055.21</v>
      </c>
      <c r="D687" s="56">
        <v>3.4887000000000001E-2</v>
      </c>
    </row>
    <row r="688" spans="1:5" ht="15.6" x14ac:dyDescent="0.3">
      <c r="A688" s="54" t="s">
        <v>17</v>
      </c>
      <c r="B688" s="52" t="s">
        <v>112</v>
      </c>
      <c r="C688" s="53">
        <v>44889.37</v>
      </c>
      <c r="D688" s="56">
        <v>3.2587999999999999E-2</v>
      </c>
    </row>
    <row r="689" spans="1:4" ht="15.6" x14ac:dyDescent="0.3">
      <c r="A689" s="54" t="s">
        <v>7</v>
      </c>
      <c r="B689" s="52" t="s">
        <v>112</v>
      </c>
      <c r="C689" s="53">
        <v>42106.43</v>
      </c>
      <c r="D689" s="56">
        <v>3.0567999999999998E-2</v>
      </c>
    </row>
    <row r="690" spans="1:4" ht="15.6" x14ac:dyDescent="0.3">
      <c r="A690" s="54" t="s">
        <v>160</v>
      </c>
      <c r="B690" s="52" t="s">
        <v>112</v>
      </c>
      <c r="C690" s="53">
        <v>42029.07</v>
      </c>
      <c r="D690" s="56">
        <v>3.0512000000000001E-2</v>
      </c>
    </row>
    <row r="691" spans="1:4" ht="15.6" x14ac:dyDescent="0.3">
      <c r="A691" s="54" t="s">
        <v>20</v>
      </c>
      <c r="B691" s="52" t="s">
        <v>112</v>
      </c>
      <c r="C691" s="53">
        <v>33029.839999999997</v>
      </c>
      <c r="D691" s="56">
        <v>2.3979E-2</v>
      </c>
    </row>
    <row r="692" spans="1:4" ht="15.6" x14ac:dyDescent="0.3">
      <c r="A692" s="54" t="s">
        <v>10</v>
      </c>
      <c r="B692" s="52" t="s">
        <v>112</v>
      </c>
      <c r="C692" s="53">
        <v>31943.86</v>
      </c>
      <c r="D692" s="56">
        <v>2.3189999999999999E-2</v>
      </c>
    </row>
    <row r="693" spans="1:4" ht="15.6" x14ac:dyDescent="0.3">
      <c r="A693" s="54" t="s">
        <v>59</v>
      </c>
      <c r="B693" s="52" t="s">
        <v>112</v>
      </c>
      <c r="C693" s="53">
        <v>30776.81</v>
      </c>
      <c r="D693" s="56">
        <v>2.2343000000000002E-2</v>
      </c>
    </row>
    <row r="694" spans="1:4" ht="15.6" x14ac:dyDescent="0.3">
      <c r="A694" s="54" t="s">
        <v>15</v>
      </c>
      <c r="B694" s="52" t="s">
        <v>112</v>
      </c>
      <c r="C694" s="53">
        <v>26312.84</v>
      </c>
      <c r="D694" s="56">
        <v>1.9101999999999997E-2</v>
      </c>
    </row>
    <row r="695" spans="1:4" ht="15.6" x14ac:dyDescent="0.3">
      <c r="A695" s="54" t="s">
        <v>12</v>
      </c>
      <c r="B695" s="52" t="s">
        <v>112</v>
      </c>
      <c r="C695" s="53">
        <v>26057.38</v>
      </c>
      <c r="D695" s="56">
        <v>1.8917E-2</v>
      </c>
    </row>
    <row r="696" spans="1:4" ht="15.6" x14ac:dyDescent="0.3">
      <c r="A696" s="54" t="s">
        <v>9</v>
      </c>
      <c r="B696" s="52" t="s">
        <v>112</v>
      </c>
      <c r="C696" s="53">
        <v>25831.43</v>
      </c>
      <c r="D696" s="56">
        <v>1.8752999999999999E-2</v>
      </c>
    </row>
    <row r="697" spans="1:4" ht="15.6" x14ac:dyDescent="0.3">
      <c r="A697" s="54" t="s">
        <v>30</v>
      </c>
      <c r="B697" s="52" t="s">
        <v>112</v>
      </c>
      <c r="C697" s="53">
        <v>25746.400000000001</v>
      </c>
      <c r="D697" s="56">
        <v>1.8690999999999999E-2</v>
      </c>
    </row>
    <row r="698" spans="1:4" ht="15.6" x14ac:dyDescent="0.3">
      <c r="A698" s="54" t="s">
        <v>5</v>
      </c>
      <c r="B698" s="52" t="s">
        <v>112</v>
      </c>
      <c r="C698" s="53">
        <v>22264.83</v>
      </c>
      <c r="D698" s="56">
        <v>1.6164000000000001E-2</v>
      </c>
    </row>
    <row r="699" spans="1:4" ht="15.6" x14ac:dyDescent="0.3">
      <c r="A699" s="54" t="s">
        <v>56</v>
      </c>
      <c r="B699" s="52" t="s">
        <v>112</v>
      </c>
      <c r="C699" s="53">
        <v>19117.349999999999</v>
      </c>
      <c r="D699" s="56">
        <v>1.3878999999999999E-2</v>
      </c>
    </row>
    <row r="700" spans="1:4" ht="15.6" x14ac:dyDescent="0.3">
      <c r="A700" s="54" t="s">
        <v>159</v>
      </c>
      <c r="B700" s="52" t="s">
        <v>112</v>
      </c>
      <c r="C700" s="53">
        <v>17211.43</v>
      </c>
      <c r="D700" s="56">
        <v>1.2495000000000001E-2</v>
      </c>
    </row>
    <row r="701" spans="1:4" ht="15.6" x14ac:dyDescent="0.3">
      <c r="A701" s="54" t="s">
        <v>146</v>
      </c>
      <c r="B701" s="52" t="s">
        <v>112</v>
      </c>
      <c r="C701" s="53">
        <v>16265.13</v>
      </c>
      <c r="D701" s="56">
        <v>1.1808000000000001E-2</v>
      </c>
    </row>
    <row r="702" spans="1:4" ht="15.6" x14ac:dyDescent="0.3">
      <c r="A702" s="54" t="s">
        <v>13</v>
      </c>
      <c r="B702" s="52" t="s">
        <v>112</v>
      </c>
      <c r="C702" s="53">
        <v>15342.97</v>
      </c>
      <c r="D702" s="56">
        <v>1.1139E-2</v>
      </c>
    </row>
    <row r="703" spans="1:4" ht="15.6" x14ac:dyDescent="0.3">
      <c r="A703" s="54" t="s">
        <v>163</v>
      </c>
      <c r="B703" s="52" t="s">
        <v>112</v>
      </c>
      <c r="C703" s="53">
        <v>14133.58</v>
      </c>
      <c r="D703" s="56">
        <v>1.0260999999999999E-2</v>
      </c>
    </row>
    <row r="704" spans="1:4" ht="15.6" x14ac:dyDescent="0.3">
      <c r="A704" s="54" t="s">
        <v>14</v>
      </c>
      <c r="B704" s="52" t="s">
        <v>112</v>
      </c>
      <c r="C704" s="53">
        <v>14015.13</v>
      </c>
      <c r="D704" s="56">
        <v>1.0175E-2</v>
      </c>
    </row>
    <row r="705" spans="1:4" ht="15.6" x14ac:dyDescent="0.3">
      <c r="A705" s="54" t="s">
        <v>16</v>
      </c>
      <c r="B705" s="52" t="s">
        <v>112</v>
      </c>
      <c r="C705" s="53">
        <v>13271.81</v>
      </c>
      <c r="D705" s="56">
        <v>9.6349999999999995E-3</v>
      </c>
    </row>
    <row r="706" spans="1:4" ht="15.6" x14ac:dyDescent="0.3">
      <c r="A706" s="54" t="s">
        <v>27</v>
      </c>
      <c r="B706" s="52" t="s">
        <v>112</v>
      </c>
      <c r="C706" s="53">
        <v>8609.7900000000009</v>
      </c>
      <c r="D706" s="56">
        <v>6.2500000000000003E-3</v>
      </c>
    </row>
    <row r="707" spans="1:4" ht="15.6" x14ac:dyDescent="0.3">
      <c r="A707" s="54" t="s">
        <v>19</v>
      </c>
      <c r="B707" s="52" t="s">
        <v>112</v>
      </c>
      <c r="C707" s="53">
        <v>8413.1299999999992</v>
      </c>
      <c r="D707" s="56">
        <v>6.1079999999999997E-3</v>
      </c>
    </row>
    <row r="708" spans="1:4" ht="15.6" x14ac:dyDescent="0.3">
      <c r="A708" s="54" t="s">
        <v>29</v>
      </c>
      <c r="B708" s="52" t="s">
        <v>112</v>
      </c>
      <c r="C708" s="53">
        <v>8115.86</v>
      </c>
      <c r="D708" s="56">
        <v>5.8919999999999997E-3</v>
      </c>
    </row>
    <row r="709" spans="1:4" ht="15.6" x14ac:dyDescent="0.3">
      <c r="A709" s="54" t="s">
        <v>24</v>
      </c>
      <c r="B709" s="52" t="s">
        <v>112</v>
      </c>
      <c r="C709" s="53">
        <v>5770.08</v>
      </c>
      <c r="D709" s="56">
        <v>4.189E-3</v>
      </c>
    </row>
    <row r="710" spans="1:4" ht="15.6" x14ac:dyDescent="0.3">
      <c r="A710" s="54" t="s">
        <v>21</v>
      </c>
      <c r="B710" s="52" t="s">
        <v>112</v>
      </c>
      <c r="C710" s="53">
        <v>5515.41</v>
      </c>
      <c r="D710" s="56">
        <v>4.0039999999999997E-3</v>
      </c>
    </row>
    <row r="711" spans="1:4" ht="15.6" x14ac:dyDescent="0.3">
      <c r="A711" s="54" t="s">
        <v>64</v>
      </c>
      <c r="B711" s="52" t="s">
        <v>112</v>
      </c>
      <c r="C711" s="53">
        <v>5145.74</v>
      </c>
      <c r="D711" s="56">
        <v>3.7359999999999997E-3</v>
      </c>
    </row>
    <row r="712" spans="1:4" ht="15.6" x14ac:dyDescent="0.3">
      <c r="A712" s="54" t="s">
        <v>25</v>
      </c>
      <c r="B712" s="52" t="s">
        <v>112</v>
      </c>
      <c r="C712" s="53">
        <v>5041.09</v>
      </c>
      <c r="D712" s="56">
        <v>3.6600000000000001E-3</v>
      </c>
    </row>
    <row r="713" spans="1:4" ht="15.6" x14ac:dyDescent="0.3">
      <c r="A713" s="54" t="s">
        <v>41</v>
      </c>
      <c r="B713" s="52" t="s">
        <v>112</v>
      </c>
      <c r="C713" s="53">
        <v>4664.2</v>
      </c>
      <c r="D713" s="56">
        <v>3.3860000000000001E-3</v>
      </c>
    </row>
    <row r="714" spans="1:4" ht="15.6" x14ac:dyDescent="0.3">
      <c r="A714" s="54" t="s">
        <v>161</v>
      </c>
      <c r="B714" s="52" t="s">
        <v>112</v>
      </c>
      <c r="C714" s="53">
        <v>4628.34</v>
      </c>
      <c r="D714" s="56">
        <v>3.3600000000000001E-3</v>
      </c>
    </row>
    <row r="715" spans="1:4" ht="15.6" x14ac:dyDescent="0.3">
      <c r="A715" s="54" t="s">
        <v>38</v>
      </c>
      <c r="B715" s="52" t="s">
        <v>112</v>
      </c>
      <c r="C715" s="53">
        <v>4434.8100000000004</v>
      </c>
      <c r="D715" s="56">
        <v>3.2200000000000002E-3</v>
      </c>
    </row>
    <row r="716" spans="1:4" ht="15.6" x14ac:dyDescent="0.3">
      <c r="A716" s="54" t="s">
        <v>130</v>
      </c>
      <c r="B716" s="52" t="s">
        <v>112</v>
      </c>
      <c r="C716" s="53">
        <v>4367.71</v>
      </c>
      <c r="D716" s="56">
        <v>3.1709999999999998E-3</v>
      </c>
    </row>
    <row r="717" spans="1:4" ht="15.6" x14ac:dyDescent="0.3">
      <c r="A717" s="54" t="s">
        <v>34</v>
      </c>
      <c r="B717" s="52" t="s">
        <v>112</v>
      </c>
      <c r="C717" s="53">
        <v>3935.62</v>
      </c>
      <c r="D717" s="56">
        <v>2.8570000000000002E-3</v>
      </c>
    </row>
    <row r="718" spans="1:4" ht="15.6" x14ac:dyDescent="0.3">
      <c r="A718" s="54" t="s">
        <v>74</v>
      </c>
      <c r="B718" s="52" t="s">
        <v>112</v>
      </c>
      <c r="C718" s="53">
        <v>3610.81</v>
      </c>
      <c r="D718" s="56">
        <v>2.6210000000000001E-3</v>
      </c>
    </row>
    <row r="719" spans="1:4" ht="15.6" x14ac:dyDescent="0.3">
      <c r="A719" s="54" t="s">
        <v>61</v>
      </c>
      <c r="B719" s="52" t="s">
        <v>112</v>
      </c>
      <c r="C719" s="53">
        <v>3385.97</v>
      </c>
      <c r="D719" s="56">
        <v>2.4580000000000001E-3</v>
      </c>
    </row>
    <row r="720" spans="1:4" ht="15.6" x14ac:dyDescent="0.3">
      <c r="A720" s="54" t="s">
        <v>26</v>
      </c>
      <c r="B720" s="52" t="s">
        <v>112</v>
      </c>
      <c r="C720" s="53">
        <v>2793.02</v>
      </c>
      <c r="D720" s="56">
        <v>2.0280000000000003E-3</v>
      </c>
    </row>
    <row r="721" spans="1:4" ht="15.6" x14ac:dyDescent="0.3">
      <c r="A721" s="54" t="s">
        <v>39</v>
      </c>
      <c r="B721" s="52" t="s">
        <v>112</v>
      </c>
      <c r="C721" s="53">
        <v>2779.38</v>
      </c>
      <c r="D721" s="56">
        <v>2.0180000000000003E-3</v>
      </c>
    </row>
    <row r="722" spans="1:4" ht="15.6" x14ac:dyDescent="0.3">
      <c r="A722" s="54" t="s">
        <v>42</v>
      </c>
      <c r="B722" s="52" t="s">
        <v>112</v>
      </c>
      <c r="C722" s="53">
        <v>2455.5</v>
      </c>
      <c r="D722" s="56">
        <v>1.7829999999999999E-3</v>
      </c>
    </row>
    <row r="723" spans="1:4" ht="15.6" x14ac:dyDescent="0.3">
      <c r="A723" s="54" t="s">
        <v>51</v>
      </c>
      <c r="B723" s="52" t="s">
        <v>112</v>
      </c>
      <c r="C723" s="53">
        <v>2052.19</v>
      </c>
      <c r="D723" s="56">
        <v>1.49E-3</v>
      </c>
    </row>
    <row r="724" spans="1:4" ht="15.6" x14ac:dyDescent="0.3">
      <c r="A724" s="54" t="s">
        <v>47</v>
      </c>
      <c r="B724" s="52" t="s">
        <v>112</v>
      </c>
      <c r="C724" s="53">
        <v>1974.54</v>
      </c>
      <c r="D724" s="56">
        <v>1.433E-3</v>
      </c>
    </row>
    <row r="725" spans="1:4" ht="15.6" x14ac:dyDescent="0.3">
      <c r="A725" s="54" t="s">
        <v>40</v>
      </c>
      <c r="B725" s="52" t="s">
        <v>112</v>
      </c>
      <c r="C725" s="53">
        <v>1914.9</v>
      </c>
      <c r="D725" s="56">
        <v>1.3900000000000002E-3</v>
      </c>
    </row>
    <row r="726" spans="1:4" ht="15.6" x14ac:dyDescent="0.3">
      <c r="A726" s="54" t="s">
        <v>32</v>
      </c>
      <c r="B726" s="52" t="s">
        <v>112</v>
      </c>
      <c r="C726" s="53">
        <v>1899.75</v>
      </c>
      <c r="D726" s="56">
        <v>1.379E-3</v>
      </c>
    </row>
    <row r="727" spans="1:4" ht="15.6" x14ac:dyDescent="0.3">
      <c r="A727" s="54" t="s">
        <v>45</v>
      </c>
      <c r="B727" s="52" t="s">
        <v>112</v>
      </c>
      <c r="C727" s="53">
        <v>1871.67</v>
      </c>
      <c r="D727" s="56">
        <v>1.359E-3</v>
      </c>
    </row>
    <row r="728" spans="1:4" ht="15.6" x14ac:dyDescent="0.3">
      <c r="A728" s="54" t="s">
        <v>43</v>
      </c>
      <c r="B728" s="52" t="s">
        <v>112</v>
      </c>
      <c r="C728" s="53">
        <v>1513.23</v>
      </c>
      <c r="D728" s="56">
        <v>1.0989999999999999E-3</v>
      </c>
    </row>
    <row r="729" spans="1:4" ht="15.6" x14ac:dyDescent="0.3">
      <c r="A729" s="54" t="s">
        <v>37</v>
      </c>
      <c r="B729" s="52" t="s">
        <v>112</v>
      </c>
      <c r="C729" s="53">
        <v>1209.51</v>
      </c>
      <c r="D729" s="56">
        <v>8.7799999999999998E-4</v>
      </c>
    </row>
    <row r="730" spans="1:4" ht="15.6" x14ac:dyDescent="0.3">
      <c r="A730" s="54" t="s">
        <v>84</v>
      </c>
      <c r="B730" s="52" t="s">
        <v>112</v>
      </c>
      <c r="C730" s="53">
        <v>1137.6400000000001</v>
      </c>
      <c r="D730" s="56">
        <v>8.2600000000000002E-4</v>
      </c>
    </row>
    <row r="731" spans="1:4" ht="15.6" x14ac:dyDescent="0.3">
      <c r="A731" s="54" t="s">
        <v>96</v>
      </c>
      <c r="B731" s="52" t="s">
        <v>112</v>
      </c>
      <c r="C731" s="53">
        <v>1137.6199999999999</v>
      </c>
      <c r="D731" s="56">
        <v>8.2600000000000002E-4</v>
      </c>
    </row>
    <row r="732" spans="1:4" ht="15.6" x14ac:dyDescent="0.3">
      <c r="A732" s="54" t="s">
        <v>35</v>
      </c>
      <c r="B732" s="52" t="s">
        <v>112</v>
      </c>
      <c r="C732" s="53">
        <v>1048.05</v>
      </c>
      <c r="D732" s="56">
        <v>7.6099999999999996E-4</v>
      </c>
    </row>
    <row r="733" spans="1:4" ht="15.6" x14ac:dyDescent="0.3">
      <c r="A733" s="54" t="s">
        <v>18</v>
      </c>
      <c r="B733" s="52" t="s">
        <v>112</v>
      </c>
      <c r="C733" s="53">
        <v>1046.03</v>
      </c>
      <c r="D733" s="56">
        <v>7.5899999999999991E-4</v>
      </c>
    </row>
    <row r="734" spans="1:4" ht="15.6" x14ac:dyDescent="0.3">
      <c r="A734" s="54" t="s">
        <v>50</v>
      </c>
      <c r="B734" s="52" t="s">
        <v>112</v>
      </c>
      <c r="C734" s="53">
        <v>1032.6600000000001</v>
      </c>
      <c r="D734" s="56">
        <v>7.5000000000000002E-4</v>
      </c>
    </row>
    <row r="735" spans="1:4" ht="15.6" x14ac:dyDescent="0.3">
      <c r="A735" s="54" t="s">
        <v>63</v>
      </c>
      <c r="B735" s="52" t="s">
        <v>112</v>
      </c>
      <c r="C735" s="53">
        <v>914.43</v>
      </c>
      <c r="D735" s="56">
        <v>6.6399999999999999E-4</v>
      </c>
    </row>
    <row r="736" spans="1:4" ht="15.6" x14ac:dyDescent="0.3">
      <c r="A736" s="54" t="s">
        <v>54</v>
      </c>
      <c r="B736" s="52" t="s">
        <v>112</v>
      </c>
      <c r="C736" s="53">
        <v>792.07</v>
      </c>
      <c r="D736" s="56">
        <v>5.7499999999999999E-4</v>
      </c>
    </row>
    <row r="737" spans="1:4" ht="15.6" x14ac:dyDescent="0.3">
      <c r="A737" s="54" t="s">
        <v>83</v>
      </c>
      <c r="B737" s="52" t="s">
        <v>112</v>
      </c>
      <c r="C737" s="53">
        <v>722.69</v>
      </c>
      <c r="D737" s="56">
        <v>5.2499999999999997E-4</v>
      </c>
    </row>
    <row r="738" spans="1:4" ht="15.6" x14ac:dyDescent="0.3">
      <c r="A738" s="54" t="s">
        <v>91</v>
      </c>
      <c r="B738" s="52" t="s">
        <v>112</v>
      </c>
      <c r="C738" s="53">
        <v>639.99</v>
      </c>
      <c r="D738" s="56">
        <v>4.6499999999999997E-4</v>
      </c>
    </row>
    <row r="739" spans="1:4" ht="15.6" x14ac:dyDescent="0.3">
      <c r="A739" s="54" t="s">
        <v>23</v>
      </c>
      <c r="B739" s="52" t="s">
        <v>112</v>
      </c>
      <c r="C739" s="53">
        <v>606.84</v>
      </c>
      <c r="D739" s="56">
        <v>4.4099999999999999E-4</v>
      </c>
    </row>
    <row r="740" spans="1:4" ht="15.6" x14ac:dyDescent="0.3">
      <c r="A740" s="54" t="s">
        <v>31</v>
      </c>
      <c r="B740" s="52" t="s">
        <v>112</v>
      </c>
      <c r="C740" s="53">
        <v>564.71</v>
      </c>
      <c r="D740" s="56">
        <v>4.0999999999999999E-4</v>
      </c>
    </row>
    <row r="741" spans="1:4" ht="15.6" x14ac:dyDescent="0.3">
      <c r="A741" s="54" t="s">
        <v>55</v>
      </c>
      <c r="B741" s="52" t="s">
        <v>112</v>
      </c>
      <c r="C741" s="53">
        <v>551.32000000000005</v>
      </c>
      <c r="D741" s="56">
        <v>4.0000000000000002E-4</v>
      </c>
    </row>
    <row r="742" spans="1:4" ht="15.6" x14ac:dyDescent="0.3">
      <c r="A742" s="54" t="s">
        <v>60</v>
      </c>
      <c r="B742" s="52" t="s">
        <v>112</v>
      </c>
      <c r="C742" s="53">
        <v>472.91</v>
      </c>
      <c r="D742" s="56">
        <v>3.4299999999999999E-4</v>
      </c>
    </row>
    <row r="743" spans="1:4" ht="15.6" x14ac:dyDescent="0.3">
      <c r="A743" s="54" t="s">
        <v>46</v>
      </c>
      <c r="B743" s="52" t="s">
        <v>112</v>
      </c>
      <c r="C743" s="53">
        <v>430.23</v>
      </c>
      <c r="D743" s="56">
        <v>3.1199999999999999E-4</v>
      </c>
    </row>
    <row r="744" spans="1:4" ht="15.6" x14ac:dyDescent="0.3">
      <c r="A744" s="54" t="s">
        <v>28</v>
      </c>
      <c r="B744" s="52" t="s">
        <v>112</v>
      </c>
      <c r="C744" s="53">
        <v>408.82</v>
      </c>
      <c r="D744" s="56">
        <v>2.9700000000000001E-4</v>
      </c>
    </row>
    <row r="745" spans="1:4" ht="15.6" x14ac:dyDescent="0.3">
      <c r="A745" s="54" t="s">
        <v>58</v>
      </c>
      <c r="B745" s="52" t="s">
        <v>112</v>
      </c>
      <c r="C745" s="53">
        <v>406.14</v>
      </c>
      <c r="D745" s="56">
        <v>2.9499999999999996E-4</v>
      </c>
    </row>
    <row r="746" spans="1:4" ht="15.6" x14ac:dyDescent="0.3">
      <c r="A746" s="54" t="s">
        <v>53</v>
      </c>
      <c r="B746" s="52" t="s">
        <v>112</v>
      </c>
      <c r="C746" s="53">
        <v>365.46</v>
      </c>
      <c r="D746" s="56">
        <v>2.6499999999999999E-4</v>
      </c>
    </row>
    <row r="747" spans="1:4" ht="15.6" x14ac:dyDescent="0.3">
      <c r="A747" s="54" t="s">
        <v>145</v>
      </c>
      <c r="B747" s="52" t="s">
        <v>112</v>
      </c>
      <c r="C747" s="53">
        <v>336.03</v>
      </c>
      <c r="D747" s="56">
        <v>2.4400000000000002E-4</v>
      </c>
    </row>
    <row r="748" spans="1:4" ht="15.6" x14ac:dyDescent="0.3">
      <c r="A748" s="54" t="s">
        <v>33</v>
      </c>
      <c r="B748" s="52" t="s">
        <v>112</v>
      </c>
      <c r="C748" s="53">
        <v>271.64</v>
      </c>
      <c r="D748" s="56">
        <v>1.9699999999999999E-4</v>
      </c>
    </row>
    <row r="749" spans="1:4" ht="15.6" x14ac:dyDescent="0.3">
      <c r="A749" s="54" t="s">
        <v>162</v>
      </c>
      <c r="B749" s="52" t="s">
        <v>112</v>
      </c>
      <c r="C749" s="53">
        <v>268.38</v>
      </c>
      <c r="D749" s="56">
        <v>1.95E-4</v>
      </c>
    </row>
    <row r="750" spans="1:4" ht="15.6" x14ac:dyDescent="0.3">
      <c r="A750" s="54" t="s">
        <v>44</v>
      </c>
      <c r="B750" s="52" t="s">
        <v>112</v>
      </c>
      <c r="C750" s="53">
        <v>173.99</v>
      </c>
      <c r="D750" s="56">
        <v>1.26E-4</v>
      </c>
    </row>
    <row r="751" spans="1:4" ht="15.6" x14ac:dyDescent="0.3">
      <c r="A751" s="54" t="s">
        <v>133</v>
      </c>
      <c r="B751" s="52" t="s">
        <v>112</v>
      </c>
      <c r="C751" s="53">
        <v>153.9</v>
      </c>
      <c r="D751" s="56">
        <v>1.12E-4</v>
      </c>
    </row>
    <row r="752" spans="1:4" ht="15.6" x14ac:dyDescent="0.3">
      <c r="A752" s="54" t="s">
        <v>81</v>
      </c>
      <c r="B752" s="52" t="s">
        <v>112</v>
      </c>
      <c r="C752" s="53">
        <v>152.36000000000001</v>
      </c>
      <c r="D752" s="56">
        <v>1.11E-4</v>
      </c>
    </row>
    <row r="753" spans="1:4" ht="15.6" x14ac:dyDescent="0.3">
      <c r="A753" s="54" t="s">
        <v>164</v>
      </c>
      <c r="B753" s="52" t="s">
        <v>112</v>
      </c>
      <c r="C753" s="53">
        <v>146.52000000000001</v>
      </c>
      <c r="D753" s="56">
        <v>1.06E-4</v>
      </c>
    </row>
    <row r="754" spans="1:4" ht="15.6" x14ac:dyDescent="0.3">
      <c r="A754" s="54" t="s">
        <v>62</v>
      </c>
      <c r="B754" s="52" t="s">
        <v>112</v>
      </c>
      <c r="C754" s="53">
        <v>141.28</v>
      </c>
      <c r="D754" s="56">
        <v>1.03E-4</v>
      </c>
    </row>
    <row r="755" spans="1:4" ht="15.6" x14ac:dyDescent="0.3">
      <c r="A755" s="54" t="s">
        <v>94</v>
      </c>
      <c r="B755" s="52" t="s">
        <v>112</v>
      </c>
      <c r="C755" s="53">
        <v>88.42</v>
      </c>
      <c r="D755" s="56">
        <v>6.3999999999999997E-5</v>
      </c>
    </row>
    <row r="756" spans="1:4" ht="15.6" x14ac:dyDescent="0.3">
      <c r="A756" s="54" t="s">
        <v>66</v>
      </c>
      <c r="B756" s="52" t="s">
        <v>112</v>
      </c>
      <c r="C756" s="53">
        <v>86.32</v>
      </c>
      <c r="D756" s="56">
        <v>6.3E-5</v>
      </c>
    </row>
    <row r="757" spans="1:4" ht="15.6" x14ac:dyDescent="0.3">
      <c r="A757" s="54" t="s">
        <v>93</v>
      </c>
      <c r="B757" s="52" t="s">
        <v>112</v>
      </c>
      <c r="C757" s="53">
        <v>79.8</v>
      </c>
      <c r="D757" s="56">
        <v>5.7999999999999994E-5</v>
      </c>
    </row>
    <row r="758" spans="1:4" ht="15.6" x14ac:dyDescent="0.3">
      <c r="A758" s="54" t="s">
        <v>85</v>
      </c>
      <c r="B758" s="52" t="s">
        <v>112</v>
      </c>
      <c r="C758" s="53">
        <v>75.900000000000006</v>
      </c>
      <c r="D758" s="56">
        <v>5.4999999999999995E-5</v>
      </c>
    </row>
    <row r="759" spans="1:4" ht="15.6" x14ac:dyDescent="0.3">
      <c r="A759" s="54" t="s">
        <v>37</v>
      </c>
      <c r="B759" s="52" t="s">
        <v>112</v>
      </c>
      <c r="C759" s="53">
        <v>74.88</v>
      </c>
      <c r="D759" s="56">
        <v>5.4000000000000005E-5</v>
      </c>
    </row>
    <row r="760" spans="1:4" ht="15.6" x14ac:dyDescent="0.3">
      <c r="A760" s="54" t="s">
        <v>78</v>
      </c>
      <c r="B760" s="52" t="s">
        <v>112</v>
      </c>
      <c r="C760" s="53">
        <v>63.6</v>
      </c>
      <c r="D760" s="56">
        <v>4.6E-5</v>
      </c>
    </row>
    <row r="761" spans="1:4" ht="15.6" x14ac:dyDescent="0.3">
      <c r="A761" s="54" t="s">
        <v>80</v>
      </c>
      <c r="B761" s="52" t="s">
        <v>112</v>
      </c>
      <c r="C761" s="53">
        <v>60.64</v>
      </c>
      <c r="D761" s="56">
        <v>4.4000000000000006E-5</v>
      </c>
    </row>
    <row r="762" spans="1:4" ht="15.6" x14ac:dyDescent="0.3">
      <c r="A762" s="54" t="s">
        <v>52</v>
      </c>
      <c r="B762" s="52" t="s">
        <v>112</v>
      </c>
      <c r="C762" s="53">
        <v>56.61</v>
      </c>
      <c r="D762" s="56">
        <v>4.1E-5</v>
      </c>
    </row>
    <row r="763" spans="1:4" ht="15.6" x14ac:dyDescent="0.3">
      <c r="A763" s="54" t="s">
        <v>88</v>
      </c>
      <c r="B763" s="52" t="s">
        <v>112</v>
      </c>
      <c r="C763" s="53">
        <v>55.02</v>
      </c>
      <c r="D763" s="56">
        <v>4.0000000000000003E-5</v>
      </c>
    </row>
    <row r="764" spans="1:4" ht="15.6" x14ac:dyDescent="0.3">
      <c r="A764" s="54" t="s">
        <v>79</v>
      </c>
      <c r="B764" s="52" t="s">
        <v>112</v>
      </c>
      <c r="C764" s="53">
        <v>52.82</v>
      </c>
      <c r="D764" s="56">
        <v>3.8000000000000002E-5</v>
      </c>
    </row>
    <row r="765" spans="1:4" ht="15.6" x14ac:dyDescent="0.3">
      <c r="A765" s="54" t="s">
        <v>67</v>
      </c>
      <c r="B765" s="52" t="s">
        <v>112</v>
      </c>
      <c r="C765" s="53">
        <v>40.520000000000003</v>
      </c>
      <c r="D765" s="56">
        <v>2.8999999999999997E-5</v>
      </c>
    </row>
    <row r="766" spans="1:4" ht="15.6" x14ac:dyDescent="0.3">
      <c r="A766" s="54" t="s">
        <v>22</v>
      </c>
      <c r="B766" s="52" t="s">
        <v>112</v>
      </c>
      <c r="C766" s="53">
        <v>37.14</v>
      </c>
      <c r="D766" s="56">
        <v>2.7000000000000002E-5</v>
      </c>
    </row>
    <row r="767" spans="1:4" ht="15.6" x14ac:dyDescent="0.3">
      <c r="A767" s="54" t="s">
        <v>65</v>
      </c>
      <c r="B767" s="52" t="s">
        <v>112</v>
      </c>
      <c r="C767" s="53">
        <v>34.15</v>
      </c>
      <c r="D767" s="56">
        <v>2.5000000000000001E-5</v>
      </c>
    </row>
    <row r="768" spans="1:4" ht="15.6" x14ac:dyDescent="0.3">
      <c r="A768" s="54" t="s">
        <v>68</v>
      </c>
      <c r="B768" s="52" t="s">
        <v>112</v>
      </c>
      <c r="C768" s="53">
        <v>30.68</v>
      </c>
      <c r="D768" s="56">
        <v>2.2000000000000003E-5</v>
      </c>
    </row>
    <row r="769" spans="1:4" ht="15.6" x14ac:dyDescent="0.3">
      <c r="A769" s="54" t="s">
        <v>149</v>
      </c>
      <c r="B769" s="52" t="s">
        <v>112</v>
      </c>
      <c r="C769" s="53">
        <v>19.62</v>
      </c>
      <c r="D769" s="56">
        <v>1.4E-5</v>
      </c>
    </row>
    <row r="770" spans="1:4" ht="15.6" x14ac:dyDescent="0.3">
      <c r="A770" s="54" t="s">
        <v>86</v>
      </c>
      <c r="B770" s="52" t="s">
        <v>112</v>
      </c>
      <c r="C770" s="53">
        <v>14.62</v>
      </c>
      <c r="D770" s="56">
        <v>1.1000000000000001E-5</v>
      </c>
    </row>
    <row r="771" spans="1:4" ht="15.6" x14ac:dyDescent="0.3">
      <c r="A771" s="54" t="s">
        <v>1</v>
      </c>
      <c r="B771" s="52" t="s">
        <v>113</v>
      </c>
      <c r="C771" s="53">
        <v>203385.01</v>
      </c>
      <c r="D771" s="56">
        <v>0.14559</v>
      </c>
    </row>
    <row r="772" spans="1:4" ht="15.6" x14ac:dyDescent="0.3">
      <c r="A772" s="54" t="s">
        <v>4</v>
      </c>
      <c r="B772" s="52" t="s">
        <v>113</v>
      </c>
      <c r="C772" s="53">
        <v>153202.78</v>
      </c>
      <c r="D772" s="56">
        <v>0.10966799999999999</v>
      </c>
    </row>
    <row r="773" spans="1:4" ht="15.6" x14ac:dyDescent="0.3">
      <c r="A773" s="54" t="s">
        <v>0</v>
      </c>
      <c r="B773" s="52" t="s">
        <v>113</v>
      </c>
      <c r="C773" s="53">
        <v>150500.81</v>
      </c>
      <c r="D773" s="56">
        <v>0.10773400000000001</v>
      </c>
    </row>
    <row r="774" spans="1:4" ht="15.6" x14ac:dyDescent="0.3">
      <c r="A774" s="54" t="s">
        <v>2</v>
      </c>
      <c r="B774" s="52" t="s">
        <v>113</v>
      </c>
      <c r="C774" s="53">
        <v>100603.61</v>
      </c>
      <c r="D774" s="56">
        <v>7.2015999999999997E-2</v>
      </c>
    </row>
    <row r="775" spans="1:4" ht="15.6" x14ac:dyDescent="0.3">
      <c r="A775" s="54" t="s">
        <v>8</v>
      </c>
      <c r="B775" s="52" t="s">
        <v>113</v>
      </c>
      <c r="C775" s="53">
        <v>96221.95</v>
      </c>
      <c r="D775" s="56">
        <v>6.8878999999999996E-2</v>
      </c>
    </row>
    <row r="776" spans="1:4" ht="15.6" x14ac:dyDescent="0.3">
      <c r="A776" s="54" t="s">
        <v>6</v>
      </c>
      <c r="B776" s="52" t="s">
        <v>113</v>
      </c>
      <c r="C776" s="53">
        <v>78186.25</v>
      </c>
      <c r="D776" s="56">
        <v>5.5967999999999997E-2</v>
      </c>
    </row>
    <row r="777" spans="1:4" ht="15.6" x14ac:dyDescent="0.3">
      <c r="A777" s="54" t="s">
        <v>3</v>
      </c>
      <c r="B777" s="52" t="s">
        <v>113</v>
      </c>
      <c r="C777" s="53">
        <v>77598.460000000006</v>
      </c>
      <c r="D777" s="56">
        <v>5.5548E-2</v>
      </c>
    </row>
    <row r="778" spans="1:4" ht="15.6" x14ac:dyDescent="0.3">
      <c r="A778" s="54" t="s">
        <v>12</v>
      </c>
      <c r="B778" s="52" t="s">
        <v>113</v>
      </c>
      <c r="C778" s="53">
        <v>47851.5</v>
      </c>
      <c r="D778" s="56">
        <v>3.4254E-2</v>
      </c>
    </row>
    <row r="779" spans="1:4" ht="15.6" x14ac:dyDescent="0.3">
      <c r="A779" s="54" t="s">
        <v>160</v>
      </c>
      <c r="B779" s="52" t="s">
        <v>113</v>
      </c>
      <c r="C779" s="53">
        <v>44222.76</v>
      </c>
      <c r="D779" s="56">
        <v>3.1655999999999997E-2</v>
      </c>
    </row>
    <row r="780" spans="1:4" ht="15.6" x14ac:dyDescent="0.3">
      <c r="A780" s="54" t="s">
        <v>20</v>
      </c>
      <c r="B780" s="52" t="s">
        <v>113</v>
      </c>
      <c r="C780" s="53">
        <v>38361.019999999997</v>
      </c>
      <c r="D780" s="56">
        <v>2.7459999999999998E-2</v>
      </c>
    </row>
    <row r="781" spans="1:4" ht="15.6" x14ac:dyDescent="0.3">
      <c r="A781" s="54" t="s">
        <v>59</v>
      </c>
      <c r="B781" s="52" t="s">
        <v>113</v>
      </c>
      <c r="C781" s="53">
        <v>35852.51</v>
      </c>
      <c r="D781" s="56">
        <v>2.5663999999999999E-2</v>
      </c>
    </row>
    <row r="782" spans="1:4" ht="15.6" x14ac:dyDescent="0.3">
      <c r="A782" s="54" t="s">
        <v>7</v>
      </c>
      <c r="B782" s="52" t="s">
        <v>113</v>
      </c>
      <c r="C782" s="53">
        <v>30350.05</v>
      </c>
      <c r="D782" s="56">
        <v>2.1726000000000002E-2</v>
      </c>
    </row>
    <row r="783" spans="1:4" ht="15.6" x14ac:dyDescent="0.3">
      <c r="A783" s="54" t="s">
        <v>146</v>
      </c>
      <c r="B783" s="52" t="s">
        <v>113</v>
      </c>
      <c r="C783" s="53">
        <v>30327.07</v>
      </c>
      <c r="D783" s="56">
        <v>2.1708999999999999E-2</v>
      </c>
    </row>
    <row r="784" spans="1:4" ht="15.6" x14ac:dyDescent="0.3">
      <c r="A784" s="54" t="s">
        <v>13</v>
      </c>
      <c r="B784" s="52" t="s">
        <v>113</v>
      </c>
      <c r="C784" s="53">
        <v>28746.14</v>
      </c>
      <c r="D784" s="56">
        <v>2.0577000000000002E-2</v>
      </c>
    </row>
    <row r="785" spans="1:4" ht="15.6" x14ac:dyDescent="0.3">
      <c r="A785" s="54" t="s">
        <v>14</v>
      </c>
      <c r="B785" s="52" t="s">
        <v>113</v>
      </c>
      <c r="C785" s="53">
        <v>28078.69</v>
      </c>
      <c r="D785" s="56">
        <v>2.0099999999999996E-2</v>
      </c>
    </row>
    <row r="786" spans="1:4" ht="15.6" x14ac:dyDescent="0.3">
      <c r="A786" s="54" t="s">
        <v>10</v>
      </c>
      <c r="B786" s="52" t="s">
        <v>113</v>
      </c>
      <c r="C786" s="53">
        <v>24991.33</v>
      </c>
      <c r="D786" s="56">
        <v>1.789E-2</v>
      </c>
    </row>
    <row r="787" spans="1:4" ht="15.6" x14ac:dyDescent="0.3">
      <c r="A787" s="54" t="s">
        <v>159</v>
      </c>
      <c r="B787" s="52" t="s">
        <v>113</v>
      </c>
      <c r="C787" s="53">
        <v>23495.47</v>
      </c>
      <c r="D787" s="56">
        <v>1.6819000000000001E-2</v>
      </c>
    </row>
    <row r="788" spans="1:4" ht="15.6" x14ac:dyDescent="0.3">
      <c r="A788" s="54" t="s">
        <v>9</v>
      </c>
      <c r="B788" s="52" t="s">
        <v>113</v>
      </c>
      <c r="C788" s="53">
        <v>21457.22</v>
      </c>
      <c r="D788" s="56">
        <v>1.536E-2</v>
      </c>
    </row>
    <row r="789" spans="1:4" ht="15.6" x14ac:dyDescent="0.3">
      <c r="A789" s="54" t="s">
        <v>19</v>
      </c>
      <c r="B789" s="52" t="s">
        <v>113</v>
      </c>
      <c r="C789" s="53">
        <v>20968.03</v>
      </c>
      <c r="D789" s="56">
        <v>1.5009999999999999E-2</v>
      </c>
    </row>
    <row r="790" spans="1:4" ht="15.6" x14ac:dyDescent="0.3">
      <c r="A790" s="54" t="s">
        <v>11</v>
      </c>
      <c r="B790" s="52" t="s">
        <v>113</v>
      </c>
      <c r="C790" s="53">
        <v>18720.7</v>
      </c>
      <c r="D790" s="56">
        <v>1.3401000000000001E-2</v>
      </c>
    </row>
    <row r="791" spans="1:4" ht="15.6" x14ac:dyDescent="0.3">
      <c r="A791" s="54" t="s">
        <v>16</v>
      </c>
      <c r="B791" s="52" t="s">
        <v>113</v>
      </c>
      <c r="C791" s="53">
        <v>15570.5</v>
      </c>
      <c r="D791" s="56">
        <v>1.1146E-2</v>
      </c>
    </row>
    <row r="792" spans="1:4" ht="15.6" x14ac:dyDescent="0.3">
      <c r="A792" s="54" t="s">
        <v>17</v>
      </c>
      <c r="B792" s="52" t="s">
        <v>113</v>
      </c>
      <c r="C792" s="53">
        <v>14552.57</v>
      </c>
      <c r="D792" s="56">
        <v>1.0417000000000001E-2</v>
      </c>
    </row>
    <row r="793" spans="1:4" ht="15.6" x14ac:dyDescent="0.3">
      <c r="A793" s="54" t="s">
        <v>15</v>
      </c>
      <c r="B793" s="52" t="s">
        <v>113</v>
      </c>
      <c r="C793" s="53">
        <v>13471.58</v>
      </c>
      <c r="D793" s="56">
        <v>9.6430000000000005E-3</v>
      </c>
    </row>
    <row r="794" spans="1:4" ht="15.6" x14ac:dyDescent="0.3">
      <c r="A794" s="54" t="s">
        <v>5</v>
      </c>
      <c r="B794" s="52" t="s">
        <v>113</v>
      </c>
      <c r="C794" s="53">
        <v>10447.81</v>
      </c>
      <c r="D794" s="56">
        <v>7.4790000000000004E-3</v>
      </c>
    </row>
    <row r="795" spans="1:4" ht="15.6" x14ac:dyDescent="0.3">
      <c r="A795" s="54" t="s">
        <v>26</v>
      </c>
      <c r="B795" s="52" t="s">
        <v>113</v>
      </c>
      <c r="C795" s="53">
        <v>6151.22</v>
      </c>
      <c r="D795" s="56">
        <v>4.4030000000000007E-3</v>
      </c>
    </row>
    <row r="796" spans="1:4" ht="15.6" x14ac:dyDescent="0.3">
      <c r="A796" s="54" t="s">
        <v>25</v>
      </c>
      <c r="B796" s="52" t="s">
        <v>113</v>
      </c>
      <c r="C796" s="53">
        <v>5682.06</v>
      </c>
      <c r="D796" s="56">
        <v>4.0670000000000003E-3</v>
      </c>
    </row>
    <row r="797" spans="1:4" ht="15.6" x14ac:dyDescent="0.3">
      <c r="A797" s="54" t="s">
        <v>56</v>
      </c>
      <c r="B797" s="52" t="s">
        <v>113</v>
      </c>
      <c r="C797" s="53">
        <v>5509.58</v>
      </c>
      <c r="D797" s="56">
        <v>3.9439999999999996E-3</v>
      </c>
    </row>
    <row r="798" spans="1:4" ht="15.6" x14ac:dyDescent="0.3">
      <c r="A798" s="54" t="s">
        <v>38</v>
      </c>
      <c r="B798" s="52" t="s">
        <v>113</v>
      </c>
      <c r="C798" s="53">
        <v>5025.2</v>
      </c>
      <c r="D798" s="56">
        <v>3.5970000000000004E-3</v>
      </c>
    </row>
    <row r="799" spans="1:4" ht="15.6" x14ac:dyDescent="0.3">
      <c r="A799" s="54" t="s">
        <v>21</v>
      </c>
      <c r="B799" s="52" t="s">
        <v>113</v>
      </c>
      <c r="C799" s="53">
        <v>4832.95</v>
      </c>
      <c r="D799" s="56">
        <v>3.4599999999999995E-3</v>
      </c>
    </row>
    <row r="800" spans="1:4" ht="15.6" x14ac:dyDescent="0.3">
      <c r="A800" s="54" t="s">
        <v>29</v>
      </c>
      <c r="B800" s="52" t="s">
        <v>113</v>
      </c>
      <c r="C800" s="53">
        <v>4775.13</v>
      </c>
      <c r="D800" s="56">
        <v>3.418E-3</v>
      </c>
    </row>
    <row r="801" spans="1:4" ht="15.6" x14ac:dyDescent="0.3">
      <c r="A801" s="54" t="s">
        <v>165</v>
      </c>
      <c r="B801" s="52" t="s">
        <v>113</v>
      </c>
      <c r="C801" s="53">
        <v>4492.34</v>
      </c>
      <c r="D801" s="56">
        <v>3.2160000000000001E-3</v>
      </c>
    </row>
    <row r="802" spans="1:4" ht="15.6" x14ac:dyDescent="0.3">
      <c r="A802" s="54" t="s">
        <v>42</v>
      </c>
      <c r="B802" s="52" t="s">
        <v>113</v>
      </c>
      <c r="C802" s="53">
        <v>4407.5</v>
      </c>
      <c r="D802" s="56">
        <v>3.1549999999999998E-3</v>
      </c>
    </row>
    <row r="803" spans="1:4" ht="15.6" x14ac:dyDescent="0.3">
      <c r="A803" s="54" t="s">
        <v>39</v>
      </c>
      <c r="B803" s="52" t="s">
        <v>113</v>
      </c>
      <c r="C803" s="53">
        <v>4023.35</v>
      </c>
      <c r="D803" s="56">
        <v>2.8799999999999997E-3</v>
      </c>
    </row>
    <row r="804" spans="1:4" ht="15.6" x14ac:dyDescent="0.3">
      <c r="A804" s="54" t="s">
        <v>23</v>
      </c>
      <c r="B804" s="52" t="s">
        <v>113</v>
      </c>
      <c r="C804" s="53">
        <v>3686.69</v>
      </c>
      <c r="D804" s="56">
        <v>2.6390000000000003E-3</v>
      </c>
    </row>
    <row r="805" spans="1:4" ht="15.6" x14ac:dyDescent="0.3">
      <c r="A805" s="54" t="s">
        <v>74</v>
      </c>
      <c r="B805" s="52" t="s">
        <v>113</v>
      </c>
      <c r="C805" s="53">
        <v>2953.37</v>
      </c>
      <c r="D805" s="56">
        <v>2.114E-3</v>
      </c>
    </row>
    <row r="806" spans="1:4" ht="15.6" x14ac:dyDescent="0.3">
      <c r="A806" s="54" t="s">
        <v>31</v>
      </c>
      <c r="B806" s="52" t="s">
        <v>113</v>
      </c>
      <c r="C806" s="53">
        <v>2815.48</v>
      </c>
      <c r="D806" s="56">
        <v>2.0150000000000003E-3</v>
      </c>
    </row>
    <row r="807" spans="1:4" ht="15.6" x14ac:dyDescent="0.3">
      <c r="A807" s="54" t="s">
        <v>130</v>
      </c>
      <c r="B807" s="52" t="s">
        <v>113</v>
      </c>
      <c r="C807" s="53">
        <v>2500.1999999999998</v>
      </c>
      <c r="D807" s="56">
        <v>1.7899999999999999E-3</v>
      </c>
    </row>
    <row r="808" spans="1:4" ht="15.6" x14ac:dyDescent="0.3">
      <c r="A808" s="54" t="s">
        <v>47</v>
      </c>
      <c r="B808" s="52" t="s">
        <v>113</v>
      </c>
      <c r="C808" s="53">
        <v>2423.11</v>
      </c>
      <c r="D808" s="56">
        <v>1.7349999999999998E-3</v>
      </c>
    </row>
    <row r="809" spans="1:4" ht="15.6" x14ac:dyDescent="0.3">
      <c r="A809" s="54" t="s">
        <v>41</v>
      </c>
      <c r="B809" s="52" t="s">
        <v>113</v>
      </c>
      <c r="C809" s="53">
        <v>2374.09</v>
      </c>
      <c r="D809" s="56">
        <v>1.699E-3</v>
      </c>
    </row>
    <row r="810" spans="1:4" ht="15.6" x14ac:dyDescent="0.3">
      <c r="A810" s="54" t="s">
        <v>32</v>
      </c>
      <c r="B810" s="52" t="s">
        <v>113</v>
      </c>
      <c r="C810" s="53">
        <v>2018.36</v>
      </c>
      <c r="D810" s="56">
        <v>1.4449999999999999E-3</v>
      </c>
    </row>
    <row r="811" spans="1:4" ht="15.6" x14ac:dyDescent="0.3">
      <c r="A811" s="54" t="s">
        <v>145</v>
      </c>
      <c r="B811" s="52" t="s">
        <v>113</v>
      </c>
      <c r="C811" s="53">
        <v>1761.93</v>
      </c>
      <c r="D811" s="56">
        <v>1.261E-3</v>
      </c>
    </row>
    <row r="812" spans="1:4" ht="15.6" x14ac:dyDescent="0.3">
      <c r="A812" s="54" t="s">
        <v>18</v>
      </c>
      <c r="B812" s="52" t="s">
        <v>113</v>
      </c>
      <c r="C812" s="53">
        <v>1644.89</v>
      </c>
      <c r="D812" s="56">
        <v>1.1770000000000001E-3</v>
      </c>
    </row>
    <row r="813" spans="1:4" ht="15.6" x14ac:dyDescent="0.3">
      <c r="A813" s="54" t="s">
        <v>54</v>
      </c>
      <c r="B813" s="52" t="s">
        <v>113</v>
      </c>
      <c r="C813" s="53">
        <v>1618.44</v>
      </c>
      <c r="D813" s="56">
        <v>1.1590000000000001E-3</v>
      </c>
    </row>
    <row r="814" spans="1:4" ht="15.6" x14ac:dyDescent="0.3">
      <c r="A814" s="54" t="s">
        <v>30</v>
      </c>
      <c r="B814" s="52" t="s">
        <v>113</v>
      </c>
      <c r="C814" s="53">
        <v>1586.55</v>
      </c>
      <c r="D814" s="56">
        <v>1.1360000000000001E-3</v>
      </c>
    </row>
    <row r="815" spans="1:4" ht="15.6" x14ac:dyDescent="0.3">
      <c r="A815" s="54" t="s">
        <v>37</v>
      </c>
      <c r="B815" s="52" t="s">
        <v>113</v>
      </c>
      <c r="C815" s="53">
        <v>1425.33</v>
      </c>
      <c r="D815" s="56">
        <v>1.0199999999999999E-3</v>
      </c>
    </row>
    <row r="816" spans="1:4" ht="15.6" x14ac:dyDescent="0.3">
      <c r="A816" s="54" t="s">
        <v>40</v>
      </c>
      <c r="B816" s="52" t="s">
        <v>113</v>
      </c>
      <c r="C816" s="53">
        <v>1258.78</v>
      </c>
      <c r="D816" s="56">
        <v>9.01E-4</v>
      </c>
    </row>
    <row r="817" spans="1:4" ht="15.6" x14ac:dyDescent="0.3">
      <c r="A817" s="54" t="s">
        <v>63</v>
      </c>
      <c r="B817" s="52" t="s">
        <v>113</v>
      </c>
      <c r="C817" s="53">
        <v>1059.79</v>
      </c>
      <c r="D817" s="56">
        <v>7.5899999999999991E-4</v>
      </c>
    </row>
    <row r="818" spans="1:4" ht="15.6" x14ac:dyDescent="0.3">
      <c r="A818" s="54" t="s">
        <v>46</v>
      </c>
      <c r="B818" s="52" t="s">
        <v>113</v>
      </c>
      <c r="C818" s="53">
        <v>1004.94</v>
      </c>
      <c r="D818" s="56">
        <v>7.1900000000000002E-4</v>
      </c>
    </row>
    <row r="819" spans="1:4" ht="15.6" x14ac:dyDescent="0.3">
      <c r="A819" s="54" t="s">
        <v>44</v>
      </c>
      <c r="B819" s="52" t="s">
        <v>113</v>
      </c>
      <c r="C819" s="53">
        <v>988.2</v>
      </c>
      <c r="D819" s="56">
        <v>7.0699999999999995E-4</v>
      </c>
    </row>
    <row r="820" spans="1:4" ht="15.6" x14ac:dyDescent="0.3">
      <c r="A820" s="54" t="s">
        <v>43</v>
      </c>
      <c r="B820" s="52" t="s">
        <v>113</v>
      </c>
      <c r="C820" s="53">
        <v>976.88</v>
      </c>
      <c r="D820" s="56">
        <v>6.9900000000000008E-4</v>
      </c>
    </row>
    <row r="821" spans="1:4" ht="15.6" x14ac:dyDescent="0.3">
      <c r="A821" s="54" t="s">
        <v>164</v>
      </c>
      <c r="B821" s="52" t="s">
        <v>113</v>
      </c>
      <c r="C821" s="53">
        <v>954.58</v>
      </c>
      <c r="D821" s="56">
        <v>6.8300000000000001E-4</v>
      </c>
    </row>
    <row r="822" spans="1:4" ht="15.6" x14ac:dyDescent="0.3">
      <c r="A822" s="54" t="s">
        <v>28</v>
      </c>
      <c r="B822" s="52" t="s">
        <v>113</v>
      </c>
      <c r="C822" s="53">
        <v>919.43</v>
      </c>
      <c r="D822" s="56">
        <v>6.5799999999999995E-4</v>
      </c>
    </row>
    <row r="823" spans="1:4" ht="15.6" x14ac:dyDescent="0.3">
      <c r="A823" s="54" t="s">
        <v>61</v>
      </c>
      <c r="B823" s="52" t="s">
        <v>113</v>
      </c>
      <c r="C823" s="53">
        <v>858.52</v>
      </c>
      <c r="D823" s="56">
        <v>6.1499999999999999E-4</v>
      </c>
    </row>
    <row r="824" spans="1:4" ht="15.6" x14ac:dyDescent="0.3">
      <c r="A824" s="54" t="s">
        <v>24</v>
      </c>
      <c r="B824" s="52" t="s">
        <v>113</v>
      </c>
      <c r="C824" s="53">
        <v>829.4</v>
      </c>
      <c r="D824" s="56">
        <v>5.9400000000000002E-4</v>
      </c>
    </row>
    <row r="825" spans="1:4" ht="15.6" x14ac:dyDescent="0.3">
      <c r="A825" s="54" t="s">
        <v>45</v>
      </c>
      <c r="B825" s="52" t="s">
        <v>113</v>
      </c>
      <c r="C825" s="53">
        <v>798.01</v>
      </c>
      <c r="D825" s="56">
        <v>5.71E-4</v>
      </c>
    </row>
    <row r="826" spans="1:4" ht="15.6" x14ac:dyDescent="0.3">
      <c r="A826" s="54" t="s">
        <v>51</v>
      </c>
      <c r="B826" s="52" t="s">
        <v>113</v>
      </c>
      <c r="C826" s="53">
        <v>771.5</v>
      </c>
      <c r="D826" s="56">
        <v>5.5199999999999997E-4</v>
      </c>
    </row>
    <row r="827" spans="1:4" ht="15.6" x14ac:dyDescent="0.3">
      <c r="A827" s="54" t="s">
        <v>50</v>
      </c>
      <c r="B827" s="52" t="s">
        <v>113</v>
      </c>
      <c r="C827" s="53">
        <v>724.64</v>
      </c>
      <c r="D827" s="56">
        <v>5.1900000000000004E-4</v>
      </c>
    </row>
    <row r="828" spans="1:4" ht="15.6" x14ac:dyDescent="0.3">
      <c r="A828" s="54" t="s">
        <v>75</v>
      </c>
      <c r="B828" s="52" t="s">
        <v>113</v>
      </c>
      <c r="C828" s="53">
        <v>674.2</v>
      </c>
      <c r="D828" s="56">
        <v>4.8300000000000003E-4</v>
      </c>
    </row>
    <row r="829" spans="1:4" ht="15.6" x14ac:dyDescent="0.3">
      <c r="A829" s="54" t="s">
        <v>83</v>
      </c>
      <c r="B829" s="52" t="s">
        <v>113</v>
      </c>
      <c r="C829" s="53">
        <v>644.12</v>
      </c>
      <c r="D829" s="56">
        <v>4.6100000000000004E-4</v>
      </c>
    </row>
    <row r="830" spans="1:4" ht="15.6" x14ac:dyDescent="0.3">
      <c r="A830" s="54" t="s">
        <v>161</v>
      </c>
      <c r="B830" s="52" t="s">
        <v>113</v>
      </c>
      <c r="C830" s="53">
        <v>604.05999999999995</v>
      </c>
      <c r="D830" s="56">
        <v>4.3200000000000004E-4</v>
      </c>
    </row>
    <row r="831" spans="1:4" ht="15.6" x14ac:dyDescent="0.3">
      <c r="A831" s="54" t="s">
        <v>27</v>
      </c>
      <c r="B831" s="52" t="s">
        <v>113</v>
      </c>
      <c r="C831" s="53">
        <v>563.97</v>
      </c>
      <c r="D831" s="56">
        <v>4.0400000000000001E-4</v>
      </c>
    </row>
    <row r="832" spans="1:4" ht="15.6" x14ac:dyDescent="0.3">
      <c r="A832" s="54" t="s">
        <v>76</v>
      </c>
      <c r="B832" s="52" t="s">
        <v>113</v>
      </c>
      <c r="C832" s="53">
        <v>560.64</v>
      </c>
      <c r="D832" s="56">
        <v>4.0099999999999999E-4</v>
      </c>
    </row>
    <row r="833" spans="1:4" ht="15.6" x14ac:dyDescent="0.3">
      <c r="A833" s="54" t="s">
        <v>81</v>
      </c>
      <c r="B833" s="52" t="s">
        <v>113</v>
      </c>
      <c r="C833" s="53">
        <v>427.48</v>
      </c>
      <c r="D833" s="56">
        <v>3.0600000000000001E-4</v>
      </c>
    </row>
    <row r="834" spans="1:4" ht="15.6" x14ac:dyDescent="0.3">
      <c r="A834" s="54" t="s">
        <v>35</v>
      </c>
      <c r="B834" s="52" t="s">
        <v>113</v>
      </c>
      <c r="C834" s="53">
        <v>410.31</v>
      </c>
      <c r="D834" s="56">
        <v>2.9399999999999999E-4</v>
      </c>
    </row>
    <row r="835" spans="1:4" ht="15.6" x14ac:dyDescent="0.3">
      <c r="A835" s="54" t="s">
        <v>84</v>
      </c>
      <c r="B835" s="52" t="s">
        <v>113</v>
      </c>
      <c r="C835" s="53">
        <v>389.98</v>
      </c>
      <c r="D835" s="56">
        <v>2.7900000000000001E-4</v>
      </c>
    </row>
    <row r="836" spans="1:4" ht="15.6" x14ac:dyDescent="0.3">
      <c r="A836" s="54" t="s">
        <v>68</v>
      </c>
      <c r="B836" s="52" t="s">
        <v>113</v>
      </c>
      <c r="C836" s="53">
        <v>370.02</v>
      </c>
      <c r="D836" s="56">
        <v>2.6499999999999999E-4</v>
      </c>
    </row>
    <row r="837" spans="1:4" ht="15.6" x14ac:dyDescent="0.3">
      <c r="A837" s="54" t="s">
        <v>64</v>
      </c>
      <c r="B837" s="52" t="s">
        <v>113</v>
      </c>
      <c r="C837" s="53">
        <v>252.94</v>
      </c>
      <c r="D837" s="56">
        <v>1.8100000000000001E-4</v>
      </c>
    </row>
    <row r="838" spans="1:4" ht="15.6" x14ac:dyDescent="0.3">
      <c r="A838" s="54" t="s">
        <v>55</v>
      </c>
      <c r="B838" s="52" t="s">
        <v>113</v>
      </c>
      <c r="C838" s="53">
        <v>235.8</v>
      </c>
      <c r="D838" s="56">
        <v>1.6899999999999999E-4</v>
      </c>
    </row>
    <row r="839" spans="1:4" ht="15.6" x14ac:dyDescent="0.3">
      <c r="A839" s="54" t="s">
        <v>60</v>
      </c>
      <c r="B839" s="52" t="s">
        <v>113</v>
      </c>
      <c r="C839" s="53">
        <v>192.86</v>
      </c>
      <c r="D839" s="56">
        <v>1.3799999999999999E-4</v>
      </c>
    </row>
    <row r="840" spans="1:4" ht="15.6" x14ac:dyDescent="0.3">
      <c r="A840" s="54" t="s">
        <v>53</v>
      </c>
      <c r="B840" s="52" t="s">
        <v>113</v>
      </c>
      <c r="C840" s="53">
        <v>190.7</v>
      </c>
      <c r="D840" s="56">
        <v>1.37E-4</v>
      </c>
    </row>
    <row r="841" spans="1:4" ht="15.6" x14ac:dyDescent="0.3">
      <c r="A841" s="54" t="s">
        <v>91</v>
      </c>
      <c r="B841" s="52" t="s">
        <v>113</v>
      </c>
      <c r="C841" s="53">
        <v>180.51</v>
      </c>
      <c r="D841" s="56">
        <v>1.2899999999999999E-4</v>
      </c>
    </row>
    <row r="842" spans="1:4" ht="15.6" x14ac:dyDescent="0.3">
      <c r="A842" s="54" t="s">
        <v>67</v>
      </c>
      <c r="B842" s="52" t="s">
        <v>113</v>
      </c>
      <c r="C842" s="53">
        <v>176.11</v>
      </c>
      <c r="D842" s="56">
        <v>1.26E-4</v>
      </c>
    </row>
    <row r="843" spans="1:4" ht="15.6" x14ac:dyDescent="0.3">
      <c r="A843" s="54" t="s">
        <v>166</v>
      </c>
      <c r="B843" s="52" t="s">
        <v>113</v>
      </c>
      <c r="C843" s="53">
        <v>173.42</v>
      </c>
      <c r="D843" s="56">
        <v>1.2400000000000001E-4</v>
      </c>
    </row>
    <row r="844" spans="1:4" ht="15.6" x14ac:dyDescent="0.3">
      <c r="A844" s="54" t="s">
        <v>62</v>
      </c>
      <c r="B844" s="52" t="s">
        <v>113</v>
      </c>
      <c r="C844" s="53">
        <v>155.47999999999999</v>
      </c>
      <c r="D844" s="56">
        <v>1.11E-4</v>
      </c>
    </row>
    <row r="845" spans="1:4" ht="15.6" x14ac:dyDescent="0.3">
      <c r="A845" s="54" t="s">
        <v>79</v>
      </c>
      <c r="B845" s="52" t="s">
        <v>113</v>
      </c>
      <c r="C845" s="53">
        <v>119.76</v>
      </c>
      <c r="D845" s="56">
        <v>8.6000000000000003E-5</v>
      </c>
    </row>
    <row r="846" spans="1:4" ht="15.6" x14ac:dyDescent="0.3">
      <c r="A846" s="54" t="s">
        <v>80</v>
      </c>
      <c r="B846" s="52" t="s">
        <v>113</v>
      </c>
      <c r="C846" s="53">
        <v>101.66</v>
      </c>
      <c r="D846" s="56">
        <v>7.2999999999999999E-5</v>
      </c>
    </row>
    <row r="847" spans="1:4" ht="15.6" x14ac:dyDescent="0.3">
      <c r="A847" s="54" t="s">
        <v>58</v>
      </c>
      <c r="B847" s="52" t="s">
        <v>113</v>
      </c>
      <c r="C847" s="53">
        <v>89.65</v>
      </c>
      <c r="D847" s="56">
        <v>6.3999999999999997E-5</v>
      </c>
    </row>
    <row r="848" spans="1:4" ht="15.6" x14ac:dyDescent="0.3">
      <c r="A848" s="54" t="s">
        <v>133</v>
      </c>
      <c r="B848" s="52" t="s">
        <v>113</v>
      </c>
      <c r="C848" s="53">
        <v>80.8</v>
      </c>
      <c r="D848" s="56">
        <v>5.7999999999999994E-5</v>
      </c>
    </row>
    <row r="849" spans="1:4" ht="15.6" x14ac:dyDescent="0.3">
      <c r="A849" s="54" t="s">
        <v>88</v>
      </c>
      <c r="B849" s="52" t="s">
        <v>113</v>
      </c>
      <c r="C849" s="53">
        <v>78.63</v>
      </c>
      <c r="D849" s="56">
        <v>5.5999999999999999E-5</v>
      </c>
    </row>
    <row r="850" spans="1:4" ht="15.6" x14ac:dyDescent="0.3">
      <c r="A850" s="54" t="s">
        <v>66</v>
      </c>
      <c r="B850" s="52" t="s">
        <v>113</v>
      </c>
      <c r="C850" s="53">
        <v>64.75</v>
      </c>
      <c r="D850" s="56">
        <v>4.6E-5</v>
      </c>
    </row>
    <row r="851" spans="1:4" ht="15.6" x14ac:dyDescent="0.3">
      <c r="A851" s="54" t="s">
        <v>94</v>
      </c>
      <c r="B851" s="52" t="s">
        <v>113</v>
      </c>
      <c r="C851" s="53">
        <v>64.099999999999994</v>
      </c>
      <c r="D851" s="56">
        <v>4.6E-5</v>
      </c>
    </row>
    <row r="852" spans="1:4" ht="15.6" x14ac:dyDescent="0.3">
      <c r="A852" s="54" t="s">
        <v>37</v>
      </c>
      <c r="B852" s="52" t="s">
        <v>113</v>
      </c>
      <c r="C852" s="53">
        <v>51.48</v>
      </c>
      <c r="D852" s="56">
        <v>3.7000000000000005E-5</v>
      </c>
    </row>
    <row r="853" spans="1:4" ht="15.6" x14ac:dyDescent="0.3">
      <c r="A853" s="54" t="s">
        <v>65</v>
      </c>
      <c r="B853" s="52" t="s">
        <v>113</v>
      </c>
      <c r="C853" s="53">
        <v>36.22</v>
      </c>
      <c r="D853" s="56">
        <v>2.5999999999999998E-5</v>
      </c>
    </row>
    <row r="854" spans="1:4" ht="15.6" x14ac:dyDescent="0.3">
      <c r="A854" s="54" t="s">
        <v>52</v>
      </c>
      <c r="B854" s="52" t="s">
        <v>113</v>
      </c>
      <c r="C854" s="53">
        <v>23.94</v>
      </c>
      <c r="D854" s="56">
        <v>1.7E-5</v>
      </c>
    </row>
    <row r="855" spans="1:4" ht="15.6" x14ac:dyDescent="0.3">
      <c r="A855" s="54" t="s">
        <v>149</v>
      </c>
      <c r="B855" s="52" t="s">
        <v>113</v>
      </c>
      <c r="C855" s="53">
        <v>19.62</v>
      </c>
      <c r="D855" s="56">
        <v>1.4E-5</v>
      </c>
    </row>
    <row r="856" spans="1:4" ht="15.6" x14ac:dyDescent="0.3">
      <c r="A856" s="54" t="s">
        <v>132</v>
      </c>
      <c r="B856" s="52" t="s">
        <v>113</v>
      </c>
      <c r="C856" s="53">
        <v>12.62</v>
      </c>
      <c r="D856" s="56">
        <v>9.0000000000000002E-6</v>
      </c>
    </row>
    <row r="857" spans="1:4" ht="15.6" x14ac:dyDescent="0.3">
      <c r="A857" s="54" t="s">
        <v>147</v>
      </c>
      <c r="B857" s="52" t="s">
        <v>113</v>
      </c>
      <c r="C857" s="53">
        <v>8.99</v>
      </c>
      <c r="D857" s="56">
        <v>5.9999999999999993E-6</v>
      </c>
    </row>
    <row r="858" spans="1:4" ht="15.6" x14ac:dyDescent="0.3">
      <c r="A858" s="54" t="s">
        <v>1</v>
      </c>
      <c r="B858" s="52" t="s">
        <v>114</v>
      </c>
      <c r="C858" s="57">
        <v>174370.86</v>
      </c>
      <c r="D858" s="56">
        <v>0.14963899999999999</v>
      </c>
    </row>
    <row r="859" spans="1:4" ht="15.6" x14ac:dyDescent="0.3">
      <c r="A859" s="54" t="s">
        <v>6</v>
      </c>
      <c r="B859" s="52" t="s">
        <v>114</v>
      </c>
      <c r="C859" s="57">
        <v>140903.24</v>
      </c>
      <c r="D859" s="56">
        <v>0.120918</v>
      </c>
    </row>
    <row r="860" spans="1:4" ht="15.6" x14ac:dyDescent="0.3">
      <c r="A860" s="54" t="s">
        <v>4</v>
      </c>
      <c r="B860" s="52" t="s">
        <v>114</v>
      </c>
      <c r="C860" s="57">
        <v>120826.5</v>
      </c>
      <c r="D860" s="56">
        <v>0.103689</v>
      </c>
    </row>
    <row r="861" spans="1:4" ht="15.6" x14ac:dyDescent="0.3">
      <c r="A861" s="54" t="s">
        <v>2</v>
      </c>
      <c r="B861" s="52" t="s">
        <v>114</v>
      </c>
      <c r="C861" s="57">
        <v>110206.25</v>
      </c>
      <c r="D861" s="56">
        <v>9.4574999999999992E-2</v>
      </c>
    </row>
    <row r="862" spans="1:4" ht="15.6" x14ac:dyDescent="0.3">
      <c r="A862" s="54" t="s">
        <v>8</v>
      </c>
      <c r="B862" s="52" t="s">
        <v>114</v>
      </c>
      <c r="C862" s="57">
        <v>80728.539999999994</v>
      </c>
      <c r="D862" s="56">
        <v>6.9278000000000006E-2</v>
      </c>
    </row>
    <row r="863" spans="1:4" ht="15.6" x14ac:dyDescent="0.3">
      <c r="A863" s="54" t="s">
        <v>0</v>
      </c>
      <c r="B863" s="52" t="s">
        <v>114</v>
      </c>
      <c r="C863" s="57">
        <v>69177.289999999994</v>
      </c>
      <c r="D863" s="56">
        <v>5.9366000000000002E-2</v>
      </c>
    </row>
    <row r="864" spans="1:4" ht="15.6" x14ac:dyDescent="0.3">
      <c r="A864" s="54" t="s">
        <v>145</v>
      </c>
      <c r="B864" s="52" t="s">
        <v>114</v>
      </c>
      <c r="C864" s="57">
        <v>52762.96</v>
      </c>
      <c r="D864" s="56">
        <v>4.5279E-2</v>
      </c>
    </row>
    <row r="865" spans="1:4" ht="15.6" x14ac:dyDescent="0.3">
      <c r="A865" s="54" t="s">
        <v>17</v>
      </c>
      <c r="B865" s="52" t="s">
        <v>114</v>
      </c>
      <c r="C865" s="57">
        <v>45442.45</v>
      </c>
      <c r="D865" s="56">
        <v>3.8997000000000004E-2</v>
      </c>
    </row>
    <row r="866" spans="1:4" ht="15.6" x14ac:dyDescent="0.3">
      <c r="A866" s="54" t="s">
        <v>3</v>
      </c>
      <c r="B866" s="52" t="s">
        <v>114</v>
      </c>
      <c r="C866" s="57">
        <v>44917.760000000002</v>
      </c>
      <c r="D866" s="56">
        <v>3.8546999999999998E-2</v>
      </c>
    </row>
    <row r="867" spans="1:4" ht="15.6" x14ac:dyDescent="0.3">
      <c r="A867" s="54" t="s">
        <v>7</v>
      </c>
      <c r="B867" s="52" t="s">
        <v>114</v>
      </c>
      <c r="C867" s="57">
        <v>29432.720000000001</v>
      </c>
      <c r="D867" s="56">
        <v>2.5257999999999999E-2</v>
      </c>
    </row>
    <row r="868" spans="1:4" ht="15.6" x14ac:dyDescent="0.3">
      <c r="A868" s="54" t="s">
        <v>10</v>
      </c>
      <c r="B868" s="52" t="s">
        <v>114</v>
      </c>
      <c r="C868" s="57">
        <v>20791.080000000002</v>
      </c>
      <c r="D868" s="56">
        <v>1.7842E-2</v>
      </c>
    </row>
    <row r="869" spans="1:4" ht="15.6" x14ac:dyDescent="0.3">
      <c r="A869" s="54" t="s">
        <v>12</v>
      </c>
      <c r="B869" s="52" t="s">
        <v>114</v>
      </c>
      <c r="C869" s="57">
        <v>19588.97</v>
      </c>
      <c r="D869" s="56">
        <v>1.6811E-2</v>
      </c>
    </row>
    <row r="870" spans="1:4" ht="15.6" x14ac:dyDescent="0.3">
      <c r="A870" s="54" t="s">
        <v>20</v>
      </c>
      <c r="B870" s="52" t="s">
        <v>114</v>
      </c>
      <c r="C870" s="57">
        <v>19536.41</v>
      </c>
      <c r="D870" s="56">
        <v>1.6765000000000002E-2</v>
      </c>
    </row>
    <row r="871" spans="1:4" ht="15.6" x14ac:dyDescent="0.3">
      <c r="A871" s="54" t="s">
        <v>59</v>
      </c>
      <c r="B871" s="52" t="s">
        <v>114</v>
      </c>
      <c r="C871" s="57">
        <v>18641.12</v>
      </c>
      <c r="D871" s="56">
        <v>1.5996999999999997E-2</v>
      </c>
    </row>
    <row r="872" spans="1:4" ht="15.6" x14ac:dyDescent="0.3">
      <c r="A872" s="54" t="s">
        <v>9</v>
      </c>
      <c r="B872" s="52" t="s">
        <v>114</v>
      </c>
      <c r="C872" s="57">
        <v>17587.150000000001</v>
      </c>
      <c r="D872" s="56">
        <v>1.5093000000000001E-2</v>
      </c>
    </row>
    <row r="873" spans="1:4" ht="15.6" x14ac:dyDescent="0.3">
      <c r="A873" s="54" t="s">
        <v>15</v>
      </c>
      <c r="B873" s="52" t="s">
        <v>114</v>
      </c>
      <c r="C873" s="57">
        <v>15801.85</v>
      </c>
      <c r="D873" s="56">
        <v>1.3561E-2</v>
      </c>
    </row>
    <row r="874" spans="1:4" ht="15.6" x14ac:dyDescent="0.3">
      <c r="A874" s="54" t="s">
        <v>11</v>
      </c>
      <c r="B874" s="52" t="s">
        <v>114</v>
      </c>
      <c r="C874" s="57">
        <v>15121.03</v>
      </c>
      <c r="D874" s="56">
        <v>1.2976000000000001E-2</v>
      </c>
    </row>
    <row r="875" spans="1:4" ht="15.6" x14ac:dyDescent="0.3">
      <c r="A875" s="54" t="s">
        <v>159</v>
      </c>
      <c r="B875" s="52" t="s">
        <v>114</v>
      </c>
      <c r="C875" s="57">
        <v>13191.63</v>
      </c>
      <c r="D875" s="56">
        <v>1.1321000000000001E-2</v>
      </c>
    </row>
    <row r="876" spans="1:4" ht="15.6" x14ac:dyDescent="0.3">
      <c r="A876" s="54" t="s">
        <v>19</v>
      </c>
      <c r="B876" s="52" t="s">
        <v>114</v>
      </c>
      <c r="C876" s="57">
        <v>12970.99</v>
      </c>
      <c r="D876" s="56">
        <v>1.1131E-2</v>
      </c>
    </row>
    <row r="877" spans="1:4" ht="15.6" x14ac:dyDescent="0.3">
      <c r="A877" s="54" t="s">
        <v>16</v>
      </c>
      <c r="B877" s="52" t="s">
        <v>114</v>
      </c>
      <c r="C877" s="57">
        <v>12931.13</v>
      </c>
      <c r="D877" s="56">
        <v>1.1096999999999999E-2</v>
      </c>
    </row>
    <row r="878" spans="1:4" ht="15.6" x14ac:dyDescent="0.3">
      <c r="A878" s="54" t="s">
        <v>13</v>
      </c>
      <c r="B878" s="52" t="s">
        <v>114</v>
      </c>
      <c r="C878" s="57">
        <v>12301.22</v>
      </c>
      <c r="D878" s="56">
        <v>1.0556000000000001E-2</v>
      </c>
    </row>
    <row r="879" spans="1:4" ht="15.6" x14ac:dyDescent="0.3">
      <c r="A879" s="54" t="s">
        <v>56</v>
      </c>
      <c r="B879" s="52" t="s">
        <v>114</v>
      </c>
      <c r="C879" s="57">
        <v>11846.23</v>
      </c>
      <c r="D879" s="56">
        <v>1.0166E-2</v>
      </c>
    </row>
    <row r="880" spans="1:4" ht="15.6" x14ac:dyDescent="0.3">
      <c r="A880" s="54" t="s">
        <v>64</v>
      </c>
      <c r="B880" s="52" t="s">
        <v>114</v>
      </c>
      <c r="C880" s="57">
        <v>11293.54</v>
      </c>
      <c r="D880" s="56">
        <v>9.6919999999999992E-3</v>
      </c>
    </row>
    <row r="881" spans="1:4" ht="15.6" x14ac:dyDescent="0.3">
      <c r="A881" s="54" t="s">
        <v>14</v>
      </c>
      <c r="B881" s="52" t="s">
        <v>114</v>
      </c>
      <c r="C881" s="57">
        <v>10310.450000000001</v>
      </c>
      <c r="D881" s="56">
        <v>8.848E-3</v>
      </c>
    </row>
    <row r="882" spans="1:4" ht="15.6" x14ac:dyDescent="0.3">
      <c r="A882" s="54" t="s">
        <v>160</v>
      </c>
      <c r="B882" s="52" t="s">
        <v>114</v>
      </c>
      <c r="C882" s="57">
        <v>10129.02</v>
      </c>
      <c r="D882" s="56">
        <v>8.6920000000000001E-3</v>
      </c>
    </row>
    <row r="883" spans="1:4" ht="15.6" x14ac:dyDescent="0.3">
      <c r="A883" s="54" t="s">
        <v>26</v>
      </c>
      <c r="B883" s="52" t="s">
        <v>114</v>
      </c>
      <c r="C883" s="57">
        <v>8828.1</v>
      </c>
      <c r="D883" s="56">
        <v>7.5760000000000003E-3</v>
      </c>
    </row>
    <row r="884" spans="1:4" ht="15.6" x14ac:dyDescent="0.3">
      <c r="A884" s="54" t="s">
        <v>146</v>
      </c>
      <c r="B884" s="52" t="s">
        <v>114</v>
      </c>
      <c r="C884" s="57">
        <v>7596.09</v>
      </c>
      <c r="D884" s="56">
        <v>6.5190000000000005E-3</v>
      </c>
    </row>
    <row r="885" spans="1:4" ht="15.6" x14ac:dyDescent="0.3">
      <c r="A885" s="54" t="s">
        <v>25</v>
      </c>
      <c r="B885" s="52" t="s">
        <v>114</v>
      </c>
      <c r="C885" s="57">
        <v>6171.53</v>
      </c>
      <c r="D885" s="56">
        <v>5.2959999999999995E-3</v>
      </c>
    </row>
    <row r="886" spans="1:4" ht="15.6" x14ac:dyDescent="0.3">
      <c r="A886" s="54" t="s">
        <v>21</v>
      </c>
      <c r="B886" s="52" t="s">
        <v>114</v>
      </c>
      <c r="C886" s="57">
        <v>4607.6099999999997</v>
      </c>
      <c r="D886" s="56">
        <v>3.954E-3</v>
      </c>
    </row>
    <row r="887" spans="1:4" ht="15.6" x14ac:dyDescent="0.3">
      <c r="A887" s="54" t="s">
        <v>5</v>
      </c>
      <c r="B887" s="52" t="s">
        <v>114</v>
      </c>
      <c r="C887" s="57">
        <v>4498.88</v>
      </c>
      <c r="D887" s="56">
        <v>3.8609999999999998E-3</v>
      </c>
    </row>
    <row r="888" spans="1:4" ht="15.6" x14ac:dyDescent="0.3">
      <c r="A888" s="54" t="s">
        <v>29</v>
      </c>
      <c r="B888" s="52" t="s">
        <v>114</v>
      </c>
      <c r="C888" s="57">
        <v>4270.67</v>
      </c>
      <c r="D888" s="56">
        <v>3.6649999999999999E-3</v>
      </c>
    </row>
    <row r="889" spans="1:4" ht="15.6" x14ac:dyDescent="0.3">
      <c r="A889" s="54" t="s">
        <v>47</v>
      </c>
      <c r="B889" s="52" t="s">
        <v>114</v>
      </c>
      <c r="C889" s="57">
        <v>3428.34</v>
      </c>
      <c r="D889" s="56">
        <v>2.9420000000000002E-3</v>
      </c>
    </row>
    <row r="890" spans="1:4" ht="15.6" x14ac:dyDescent="0.3">
      <c r="A890" s="54" t="s">
        <v>54</v>
      </c>
      <c r="B890" s="52" t="s">
        <v>114</v>
      </c>
      <c r="C890" s="57">
        <v>3348.91</v>
      </c>
      <c r="D890" s="56">
        <v>2.8739999999999998E-3</v>
      </c>
    </row>
    <row r="891" spans="1:4" ht="15.6" x14ac:dyDescent="0.3">
      <c r="A891" s="54" t="s">
        <v>130</v>
      </c>
      <c r="B891" s="52" t="s">
        <v>114</v>
      </c>
      <c r="C891" s="57">
        <v>3317.28</v>
      </c>
      <c r="D891" s="56">
        <v>2.8470000000000001E-3</v>
      </c>
    </row>
    <row r="892" spans="1:4" ht="15.6" x14ac:dyDescent="0.3">
      <c r="A892" s="54" t="s">
        <v>38</v>
      </c>
      <c r="B892" s="52" t="s">
        <v>114</v>
      </c>
      <c r="C892" s="57">
        <v>3314.53</v>
      </c>
      <c r="D892" s="56">
        <v>2.8439999999999997E-3</v>
      </c>
    </row>
    <row r="893" spans="1:4" ht="15.6" x14ac:dyDescent="0.3">
      <c r="A893" s="54" t="s">
        <v>39</v>
      </c>
      <c r="B893" s="52" t="s">
        <v>114</v>
      </c>
      <c r="C893" s="57">
        <v>3144.47</v>
      </c>
      <c r="D893" s="56">
        <v>2.6979999999999999E-3</v>
      </c>
    </row>
    <row r="894" spans="1:4" ht="15.6" x14ac:dyDescent="0.3">
      <c r="A894" s="54" t="s">
        <v>32</v>
      </c>
      <c r="B894" s="52" t="s">
        <v>114</v>
      </c>
      <c r="C894" s="57">
        <v>2190.89</v>
      </c>
      <c r="D894" s="56">
        <v>1.8799999999999999E-3</v>
      </c>
    </row>
    <row r="895" spans="1:4" ht="15.6" x14ac:dyDescent="0.3">
      <c r="A895" s="54" t="s">
        <v>74</v>
      </c>
      <c r="B895" s="52" t="s">
        <v>114</v>
      </c>
      <c r="C895" s="57">
        <v>2180.4899999999998</v>
      </c>
      <c r="D895" s="56">
        <v>1.8709999999999998E-3</v>
      </c>
    </row>
    <row r="896" spans="1:4" ht="15.6" x14ac:dyDescent="0.3">
      <c r="A896" s="54" t="s">
        <v>30</v>
      </c>
      <c r="B896" s="52" t="s">
        <v>114</v>
      </c>
      <c r="C896" s="57">
        <v>1528.17</v>
      </c>
      <c r="D896" s="56">
        <v>1.3109999999999999E-3</v>
      </c>
    </row>
    <row r="897" spans="1:4" ht="15.6" x14ac:dyDescent="0.3">
      <c r="A897" s="54" t="s">
        <v>40</v>
      </c>
      <c r="B897" s="52" t="s">
        <v>114</v>
      </c>
      <c r="C897" s="57">
        <v>1217.3800000000001</v>
      </c>
      <c r="D897" s="56">
        <v>1.0449999999999999E-3</v>
      </c>
    </row>
    <row r="898" spans="1:4" ht="15.6" x14ac:dyDescent="0.3">
      <c r="A898" s="54" t="s">
        <v>42</v>
      </c>
      <c r="B898" s="52" t="s">
        <v>114</v>
      </c>
      <c r="C898" s="57">
        <v>1171.6400000000001</v>
      </c>
      <c r="D898" s="56">
        <v>1.005E-3</v>
      </c>
    </row>
    <row r="899" spans="1:4" ht="15.6" x14ac:dyDescent="0.3">
      <c r="A899" s="54" t="s">
        <v>43</v>
      </c>
      <c r="B899" s="52" t="s">
        <v>114</v>
      </c>
      <c r="C899" s="57">
        <v>1171.1400000000001</v>
      </c>
      <c r="D899" s="56">
        <v>1.005E-3</v>
      </c>
    </row>
    <row r="900" spans="1:4" ht="15.6" x14ac:dyDescent="0.3">
      <c r="A900" s="54" t="s">
        <v>50</v>
      </c>
      <c r="B900" s="52" t="s">
        <v>114</v>
      </c>
      <c r="C900" s="57">
        <v>903.94</v>
      </c>
      <c r="D900" s="56">
        <v>7.76E-4</v>
      </c>
    </row>
    <row r="901" spans="1:4" ht="15.6" x14ac:dyDescent="0.3">
      <c r="A901" s="54" t="s">
        <v>165</v>
      </c>
      <c r="B901" s="52" t="s">
        <v>114</v>
      </c>
      <c r="C901" s="57">
        <v>850.44</v>
      </c>
      <c r="D901" s="56">
        <v>7.2999999999999996E-4</v>
      </c>
    </row>
    <row r="902" spans="1:4" ht="15.6" x14ac:dyDescent="0.3">
      <c r="A902" s="54" t="s">
        <v>91</v>
      </c>
      <c r="B902" s="52" t="s">
        <v>114</v>
      </c>
      <c r="C902" s="57">
        <v>821.78</v>
      </c>
      <c r="D902" s="56">
        <v>7.049999999999999E-4</v>
      </c>
    </row>
    <row r="903" spans="1:4" ht="15.6" x14ac:dyDescent="0.3">
      <c r="A903" s="54" t="s">
        <v>164</v>
      </c>
      <c r="B903" s="52" t="s">
        <v>114</v>
      </c>
      <c r="C903" s="57">
        <v>748.2</v>
      </c>
      <c r="D903" s="56">
        <v>6.4199999999999988E-4</v>
      </c>
    </row>
    <row r="904" spans="1:4" ht="15.6" x14ac:dyDescent="0.3">
      <c r="A904" s="54" t="s">
        <v>41</v>
      </c>
      <c r="B904" s="52" t="s">
        <v>114</v>
      </c>
      <c r="C904" s="57">
        <v>732.27</v>
      </c>
      <c r="D904" s="56">
        <v>6.2799999999999998E-4</v>
      </c>
    </row>
    <row r="905" spans="1:4" ht="15.6" x14ac:dyDescent="0.3">
      <c r="A905" s="54" t="s">
        <v>61</v>
      </c>
      <c r="B905" s="52" t="s">
        <v>114</v>
      </c>
      <c r="C905" s="57">
        <v>684.04</v>
      </c>
      <c r="D905" s="56">
        <v>5.8700000000000007E-4</v>
      </c>
    </row>
    <row r="906" spans="1:4" ht="15.6" x14ac:dyDescent="0.3">
      <c r="A906" s="54" t="s">
        <v>46</v>
      </c>
      <c r="B906" s="52" t="s">
        <v>114</v>
      </c>
      <c r="C906" s="57">
        <v>673.88</v>
      </c>
      <c r="D906" s="56">
        <v>5.7799999999999995E-4</v>
      </c>
    </row>
    <row r="907" spans="1:4" ht="15.6" x14ac:dyDescent="0.3">
      <c r="A907" s="54" t="s">
        <v>161</v>
      </c>
      <c r="B907" s="52" t="s">
        <v>114</v>
      </c>
      <c r="C907" s="57">
        <v>672.48</v>
      </c>
      <c r="D907" s="56">
        <v>5.7700000000000004E-4</v>
      </c>
    </row>
    <row r="908" spans="1:4" ht="15.6" x14ac:dyDescent="0.3">
      <c r="A908" s="54" t="s">
        <v>24</v>
      </c>
      <c r="B908" s="52" t="s">
        <v>114</v>
      </c>
      <c r="C908" s="57">
        <v>578.39</v>
      </c>
      <c r="D908" s="56">
        <v>4.9600000000000002E-4</v>
      </c>
    </row>
    <row r="909" spans="1:4" ht="15.6" x14ac:dyDescent="0.3">
      <c r="A909" s="54" t="s">
        <v>28</v>
      </c>
      <c r="B909" s="52" t="s">
        <v>114</v>
      </c>
      <c r="C909" s="57">
        <v>538.28</v>
      </c>
      <c r="D909" s="56">
        <v>4.6199999999999995E-4</v>
      </c>
    </row>
    <row r="910" spans="1:4" ht="15.6" x14ac:dyDescent="0.3">
      <c r="A910" s="54" t="s">
        <v>31</v>
      </c>
      <c r="B910" s="52" t="s">
        <v>114</v>
      </c>
      <c r="C910" s="57">
        <v>465.74</v>
      </c>
      <c r="D910" s="56">
        <v>4.0000000000000002E-4</v>
      </c>
    </row>
    <row r="911" spans="1:4" ht="15.6" x14ac:dyDescent="0.3">
      <c r="A911" s="54" t="s">
        <v>83</v>
      </c>
      <c r="B911" s="52" t="s">
        <v>114</v>
      </c>
      <c r="C911" s="57">
        <v>462.68</v>
      </c>
      <c r="D911" s="56">
        <v>3.97E-4</v>
      </c>
    </row>
    <row r="912" spans="1:4" ht="15.6" x14ac:dyDescent="0.3">
      <c r="A912" s="54" t="s">
        <v>44</v>
      </c>
      <c r="B912" s="52" t="s">
        <v>114</v>
      </c>
      <c r="C912" s="57">
        <v>411.48</v>
      </c>
      <c r="D912" s="56">
        <v>3.5299999999999996E-4</v>
      </c>
    </row>
    <row r="913" spans="1:4" ht="15.6" x14ac:dyDescent="0.3">
      <c r="A913" s="54" t="s">
        <v>81</v>
      </c>
      <c r="B913" s="52" t="s">
        <v>114</v>
      </c>
      <c r="C913" s="57">
        <v>374.93</v>
      </c>
      <c r="D913" s="56">
        <v>3.2200000000000002E-4</v>
      </c>
    </row>
    <row r="914" spans="1:4" ht="15.6" x14ac:dyDescent="0.3">
      <c r="A914" s="54" t="s">
        <v>45</v>
      </c>
      <c r="B914" s="52" t="s">
        <v>114</v>
      </c>
      <c r="C914" s="57">
        <v>337.7</v>
      </c>
      <c r="D914" s="56">
        <v>2.9E-4</v>
      </c>
    </row>
    <row r="915" spans="1:4" ht="15.6" x14ac:dyDescent="0.3">
      <c r="A915" s="54" t="s">
        <v>37</v>
      </c>
      <c r="B915" s="52" t="s">
        <v>114</v>
      </c>
      <c r="C915" s="57">
        <v>332.16</v>
      </c>
      <c r="D915" s="56">
        <v>2.8499999999999999E-4</v>
      </c>
    </row>
    <row r="916" spans="1:4" ht="15.6" x14ac:dyDescent="0.3">
      <c r="A916" s="54" t="s">
        <v>35</v>
      </c>
      <c r="B916" s="52" t="s">
        <v>114</v>
      </c>
      <c r="C916" s="57">
        <v>318.12</v>
      </c>
      <c r="D916" s="56">
        <v>2.7300000000000002E-4</v>
      </c>
    </row>
    <row r="917" spans="1:4" ht="15.6" x14ac:dyDescent="0.3">
      <c r="A917" s="54" t="s">
        <v>67</v>
      </c>
      <c r="B917" s="52" t="s">
        <v>114</v>
      </c>
      <c r="C917" s="57">
        <v>305.81</v>
      </c>
      <c r="D917" s="56">
        <v>2.6200000000000003E-4</v>
      </c>
    </row>
    <row r="918" spans="1:4" ht="15.6" x14ac:dyDescent="0.3">
      <c r="A918" s="54" t="s">
        <v>27</v>
      </c>
      <c r="B918" s="52" t="s">
        <v>114</v>
      </c>
      <c r="C918" s="57">
        <v>281.24</v>
      </c>
      <c r="D918" s="56">
        <v>2.41E-4</v>
      </c>
    </row>
    <row r="919" spans="1:4" ht="15.6" x14ac:dyDescent="0.3">
      <c r="A919" s="54" t="s">
        <v>36</v>
      </c>
      <c r="B919" s="52" t="s">
        <v>114</v>
      </c>
      <c r="C919" s="57">
        <v>255</v>
      </c>
      <c r="D919" s="56">
        <v>2.1899999999999998E-4</v>
      </c>
    </row>
    <row r="920" spans="1:4" ht="15.6" x14ac:dyDescent="0.3">
      <c r="A920" s="54" t="s">
        <v>166</v>
      </c>
      <c r="B920" s="52" t="s">
        <v>114</v>
      </c>
      <c r="C920" s="57">
        <v>220.9</v>
      </c>
      <c r="D920" s="56">
        <v>1.8999999999999998E-4</v>
      </c>
    </row>
    <row r="921" spans="1:4" ht="15.6" x14ac:dyDescent="0.3">
      <c r="A921" s="54" t="s">
        <v>88</v>
      </c>
      <c r="B921" s="52" t="s">
        <v>114</v>
      </c>
      <c r="C921" s="57">
        <v>172.91</v>
      </c>
      <c r="D921" s="56">
        <v>1.4800000000000002E-4</v>
      </c>
    </row>
    <row r="922" spans="1:4" ht="15.6" x14ac:dyDescent="0.3">
      <c r="A922" s="54" t="s">
        <v>76</v>
      </c>
      <c r="B922" s="52" t="s">
        <v>114</v>
      </c>
      <c r="C922" s="57">
        <v>167.2</v>
      </c>
      <c r="D922" s="56">
        <v>1.4300000000000001E-4</v>
      </c>
    </row>
    <row r="923" spans="1:4" ht="15.6" x14ac:dyDescent="0.3">
      <c r="A923" s="54" t="s">
        <v>62</v>
      </c>
      <c r="B923" s="52" t="s">
        <v>114</v>
      </c>
      <c r="C923" s="57">
        <v>153.22</v>
      </c>
      <c r="D923" s="56">
        <v>1.3100000000000001E-4</v>
      </c>
    </row>
    <row r="924" spans="1:4" ht="15.6" x14ac:dyDescent="0.3">
      <c r="A924" s="54" t="s">
        <v>58</v>
      </c>
      <c r="B924" s="52" t="s">
        <v>114</v>
      </c>
      <c r="C924" s="57">
        <v>146.07</v>
      </c>
      <c r="D924" s="56">
        <v>1.25E-4</v>
      </c>
    </row>
    <row r="925" spans="1:4" ht="15.6" x14ac:dyDescent="0.3">
      <c r="A925" s="54" t="s">
        <v>84</v>
      </c>
      <c r="B925" s="52" t="s">
        <v>114</v>
      </c>
      <c r="C925" s="57">
        <v>139.77000000000001</v>
      </c>
      <c r="D925" s="56">
        <v>1.2E-4</v>
      </c>
    </row>
    <row r="926" spans="1:4" ht="15.6" x14ac:dyDescent="0.3">
      <c r="A926" s="54" t="s">
        <v>53</v>
      </c>
      <c r="B926" s="52" t="s">
        <v>114</v>
      </c>
      <c r="C926" s="57">
        <v>134.96</v>
      </c>
      <c r="D926" s="56">
        <v>1.1599999999999999E-4</v>
      </c>
    </row>
    <row r="927" spans="1:4" ht="15.6" x14ac:dyDescent="0.3">
      <c r="A927" s="54" t="s">
        <v>133</v>
      </c>
      <c r="B927" s="52" t="s">
        <v>114</v>
      </c>
      <c r="C927" s="57">
        <v>120.4</v>
      </c>
      <c r="D927" s="56">
        <v>1.03E-4</v>
      </c>
    </row>
    <row r="928" spans="1:4" ht="15.6" x14ac:dyDescent="0.3">
      <c r="A928" s="54" t="s">
        <v>60</v>
      </c>
      <c r="B928" s="52" t="s">
        <v>114</v>
      </c>
      <c r="C928" s="57">
        <v>115.13</v>
      </c>
      <c r="D928" s="56">
        <v>9.9000000000000008E-5</v>
      </c>
    </row>
    <row r="929" spans="1:4" ht="15.6" x14ac:dyDescent="0.3">
      <c r="A929" s="54" t="s">
        <v>68</v>
      </c>
      <c r="B929" s="52" t="s">
        <v>114</v>
      </c>
      <c r="C929" s="57">
        <v>92.04</v>
      </c>
      <c r="D929" s="56">
        <v>7.9000000000000009E-5</v>
      </c>
    </row>
    <row r="930" spans="1:4" ht="15.6" x14ac:dyDescent="0.3">
      <c r="A930" s="54" t="s">
        <v>33</v>
      </c>
      <c r="B930" s="52" t="s">
        <v>114</v>
      </c>
      <c r="C930" s="57">
        <v>74.69</v>
      </c>
      <c r="D930" s="56">
        <v>6.3999999999999997E-5</v>
      </c>
    </row>
    <row r="931" spans="1:4" ht="15.6" x14ac:dyDescent="0.3">
      <c r="A931" s="54" t="s">
        <v>52</v>
      </c>
      <c r="B931" s="52" t="s">
        <v>114</v>
      </c>
      <c r="C931" s="57">
        <v>52.02</v>
      </c>
      <c r="D931" s="56">
        <v>4.4999999999999996E-5</v>
      </c>
    </row>
    <row r="932" spans="1:4" ht="15.6" x14ac:dyDescent="0.3">
      <c r="A932" s="54" t="s">
        <v>66</v>
      </c>
      <c r="B932" s="52" t="s">
        <v>114</v>
      </c>
      <c r="C932" s="57">
        <v>36.94</v>
      </c>
      <c r="D932" s="56">
        <v>3.1999999999999999E-5</v>
      </c>
    </row>
    <row r="933" spans="1:4" ht="15.6" x14ac:dyDescent="0.3">
      <c r="A933" s="54" t="s">
        <v>65</v>
      </c>
      <c r="B933" s="52" t="s">
        <v>114</v>
      </c>
      <c r="C933" s="57">
        <v>36.22</v>
      </c>
      <c r="D933" s="56">
        <v>3.1000000000000001E-5</v>
      </c>
    </row>
    <row r="934" spans="1:4" ht="15.6" x14ac:dyDescent="0.3">
      <c r="A934" s="54" t="s">
        <v>80</v>
      </c>
      <c r="B934" s="52" t="s">
        <v>114</v>
      </c>
      <c r="C934" s="57">
        <v>31.63</v>
      </c>
      <c r="D934" s="56">
        <v>2.7000000000000002E-5</v>
      </c>
    </row>
    <row r="935" spans="1:4" ht="15.6" x14ac:dyDescent="0.3">
      <c r="A935" s="54" t="s">
        <v>149</v>
      </c>
      <c r="B935" s="52" t="s">
        <v>114</v>
      </c>
      <c r="C935" s="57">
        <v>19.62</v>
      </c>
      <c r="D935" s="56">
        <v>1.7E-5</v>
      </c>
    </row>
    <row r="936" spans="1:4" ht="15.6" x14ac:dyDescent="0.3">
      <c r="A936" s="54" t="s">
        <v>37</v>
      </c>
      <c r="B936" s="52" t="s">
        <v>114</v>
      </c>
      <c r="C936" s="57">
        <v>18.2</v>
      </c>
      <c r="D936" s="56">
        <v>1.5999999999999999E-5</v>
      </c>
    </row>
    <row r="937" spans="1:4" ht="15.6" x14ac:dyDescent="0.3">
      <c r="A937" s="54" t="s">
        <v>168</v>
      </c>
      <c r="B937" s="52" t="s">
        <v>115</v>
      </c>
      <c r="C937" s="53"/>
      <c r="D937" s="71">
        <v>22.756699999999999</v>
      </c>
    </row>
    <row r="938" spans="1:4" ht="15.6" x14ac:dyDescent="0.3">
      <c r="A938" s="54" t="s">
        <v>1</v>
      </c>
      <c r="B938" s="52" t="s">
        <v>115</v>
      </c>
      <c r="C938" s="53">
        <v>205652.92</v>
      </c>
      <c r="D938" s="56">
        <v>0.15978300000000001</v>
      </c>
    </row>
    <row r="939" spans="1:4" ht="15.6" x14ac:dyDescent="0.3">
      <c r="A939" s="54" t="s">
        <v>2</v>
      </c>
      <c r="B939" s="52" t="s">
        <v>115</v>
      </c>
      <c r="C939" s="53">
        <v>119007.69</v>
      </c>
      <c r="D939" s="56">
        <v>9.2463999999999991E-2</v>
      </c>
    </row>
    <row r="940" spans="1:4" ht="15.6" x14ac:dyDescent="0.3">
      <c r="A940" s="54" t="s">
        <v>6</v>
      </c>
      <c r="B940" s="52" t="s">
        <v>115</v>
      </c>
      <c r="C940" s="53">
        <v>114273.77</v>
      </c>
      <c r="D940" s="56">
        <v>8.8786000000000004E-2</v>
      </c>
    </row>
    <row r="941" spans="1:4" ht="15.6" x14ac:dyDescent="0.3">
      <c r="A941" s="54" t="s">
        <v>8</v>
      </c>
      <c r="B941" s="52" t="s">
        <v>115</v>
      </c>
      <c r="C941" s="53">
        <v>75429.11</v>
      </c>
      <c r="D941" s="56">
        <v>5.8604999999999997E-2</v>
      </c>
    </row>
    <row r="942" spans="1:4" ht="15.6" x14ac:dyDescent="0.3">
      <c r="A942" s="54" t="s">
        <v>15</v>
      </c>
      <c r="B942" s="52" t="s">
        <v>115</v>
      </c>
      <c r="C942" s="53">
        <v>54123.6</v>
      </c>
      <c r="D942" s="56">
        <v>4.2051999999999999E-2</v>
      </c>
    </row>
    <row r="943" spans="1:4" ht="15.6" x14ac:dyDescent="0.3">
      <c r="A943" s="54" t="s">
        <v>7</v>
      </c>
      <c r="B943" s="52" t="s">
        <v>115</v>
      </c>
      <c r="C943" s="53">
        <v>51166.94</v>
      </c>
      <c r="D943" s="56">
        <v>3.9753999999999998E-2</v>
      </c>
    </row>
    <row r="944" spans="1:4" ht="15.6" x14ac:dyDescent="0.3">
      <c r="A944" s="54" t="s">
        <v>0</v>
      </c>
      <c r="B944" s="52" t="s">
        <v>115</v>
      </c>
      <c r="C944" s="53">
        <v>50843.48</v>
      </c>
      <c r="D944" s="56">
        <v>3.9502999999999996E-2</v>
      </c>
    </row>
    <row r="945" spans="1:4" ht="15.6" x14ac:dyDescent="0.3">
      <c r="A945" s="54" t="s">
        <v>160</v>
      </c>
      <c r="B945" s="52" t="s">
        <v>115</v>
      </c>
      <c r="C945" s="53">
        <v>31443.78</v>
      </c>
      <c r="D945" s="56">
        <v>2.443E-2</v>
      </c>
    </row>
    <row r="946" spans="1:4" ht="15.6" x14ac:dyDescent="0.3">
      <c r="A946" s="54" t="s">
        <v>3</v>
      </c>
      <c r="B946" s="52" t="s">
        <v>115</v>
      </c>
      <c r="C946" s="53">
        <v>23820.93</v>
      </c>
      <c r="D946" s="56">
        <v>1.8508E-2</v>
      </c>
    </row>
    <row r="947" spans="1:4" ht="15.6" x14ac:dyDescent="0.3">
      <c r="A947" s="54" t="s">
        <v>10</v>
      </c>
      <c r="B947" s="52" t="s">
        <v>115</v>
      </c>
      <c r="C947" s="53">
        <v>21683.02</v>
      </c>
      <c r="D947" s="56">
        <v>1.6847000000000001E-2</v>
      </c>
    </row>
    <row r="948" spans="1:4" ht="15.6" x14ac:dyDescent="0.3">
      <c r="A948" s="54" t="s">
        <v>9</v>
      </c>
      <c r="B948" s="52" t="s">
        <v>115</v>
      </c>
      <c r="C948" s="53">
        <v>21530.53</v>
      </c>
      <c r="D948" s="56">
        <v>1.6728E-2</v>
      </c>
    </row>
    <row r="949" spans="1:4" ht="15.6" x14ac:dyDescent="0.3">
      <c r="A949" s="54" t="s">
        <v>13</v>
      </c>
      <c r="B949" s="52" t="s">
        <v>115</v>
      </c>
      <c r="C949" s="53">
        <v>19297.25</v>
      </c>
      <c r="D949" s="56">
        <v>1.4993000000000001E-2</v>
      </c>
    </row>
    <row r="950" spans="1:4" ht="15.6" x14ac:dyDescent="0.3">
      <c r="A950" s="54" t="s">
        <v>146</v>
      </c>
      <c r="B950" s="52" t="s">
        <v>115</v>
      </c>
      <c r="C950" s="53">
        <v>18334.78</v>
      </c>
      <c r="D950" s="56">
        <v>1.4245000000000001E-2</v>
      </c>
    </row>
    <row r="951" spans="1:4" ht="15.6" x14ac:dyDescent="0.3">
      <c r="A951" s="54" t="s">
        <v>20</v>
      </c>
      <c r="B951" s="52" t="s">
        <v>115</v>
      </c>
      <c r="C951" s="53">
        <v>15713.34</v>
      </c>
      <c r="D951" s="56">
        <v>1.2209000000000001E-2</v>
      </c>
    </row>
    <row r="952" spans="1:4" ht="15.6" x14ac:dyDescent="0.3">
      <c r="A952" s="54" t="s">
        <v>19</v>
      </c>
      <c r="B952" s="52" t="s">
        <v>115</v>
      </c>
      <c r="C952" s="53">
        <v>11780.09</v>
      </c>
      <c r="D952" s="56">
        <v>9.1529999999999997E-3</v>
      </c>
    </row>
    <row r="953" spans="1:4" ht="15.6" x14ac:dyDescent="0.3">
      <c r="A953" s="54" t="s">
        <v>12</v>
      </c>
      <c r="B953" s="52" t="s">
        <v>115</v>
      </c>
      <c r="C953" s="53">
        <v>11546.19</v>
      </c>
      <c r="D953" s="56">
        <v>8.9709999999999998E-3</v>
      </c>
    </row>
    <row r="954" spans="1:4" ht="15.6" x14ac:dyDescent="0.3">
      <c r="A954" s="54" t="s">
        <v>59</v>
      </c>
      <c r="B954" s="52" t="s">
        <v>115</v>
      </c>
      <c r="C954" s="53">
        <v>9622.52</v>
      </c>
      <c r="D954" s="56">
        <v>7.476E-3</v>
      </c>
    </row>
    <row r="955" spans="1:4" ht="15.6" x14ac:dyDescent="0.3">
      <c r="A955" s="54" t="s">
        <v>159</v>
      </c>
      <c r="B955" s="52" t="s">
        <v>115</v>
      </c>
      <c r="C955" s="53">
        <v>9337.26</v>
      </c>
      <c r="D955" s="56">
        <v>7.2550000000000002E-3</v>
      </c>
    </row>
    <row r="956" spans="1:4" ht="15.6" x14ac:dyDescent="0.3">
      <c r="A956" s="54" t="s">
        <v>24</v>
      </c>
      <c r="B956" s="52" t="s">
        <v>115</v>
      </c>
      <c r="C956" s="53">
        <v>8476.2800000000007</v>
      </c>
      <c r="D956" s="56">
        <v>6.5859999999999998E-3</v>
      </c>
    </row>
    <row r="957" spans="1:4" ht="15.6" x14ac:dyDescent="0.3">
      <c r="A957" s="54" t="s">
        <v>5</v>
      </c>
      <c r="B957" s="52" t="s">
        <v>115</v>
      </c>
      <c r="C957" s="53">
        <v>8083.48</v>
      </c>
      <c r="D957" s="56">
        <v>6.28E-3</v>
      </c>
    </row>
    <row r="958" spans="1:4" ht="15.6" x14ac:dyDescent="0.3">
      <c r="A958" s="54" t="s">
        <v>16</v>
      </c>
      <c r="B958" s="52" t="s">
        <v>115</v>
      </c>
      <c r="C958" s="53">
        <v>7752.06</v>
      </c>
      <c r="D958" s="56">
        <v>6.0229999999999997E-3</v>
      </c>
    </row>
    <row r="959" spans="1:4" ht="15.6" x14ac:dyDescent="0.3">
      <c r="A959" s="54" t="s">
        <v>11</v>
      </c>
      <c r="B959" s="52" t="s">
        <v>115</v>
      </c>
      <c r="C959" s="53">
        <v>7627.92</v>
      </c>
      <c r="D959" s="56">
        <v>5.927E-3</v>
      </c>
    </row>
    <row r="960" spans="1:4" ht="15.6" x14ac:dyDescent="0.3">
      <c r="A960" s="54" t="s">
        <v>17</v>
      </c>
      <c r="B960" s="52" t="s">
        <v>115</v>
      </c>
      <c r="C960" s="53">
        <v>5158.04</v>
      </c>
      <c r="D960" s="56">
        <v>4.0080000000000003E-3</v>
      </c>
    </row>
    <row r="961" spans="1:4" ht="15.6" x14ac:dyDescent="0.3">
      <c r="A961" s="54" t="s">
        <v>29</v>
      </c>
      <c r="B961" s="52" t="s">
        <v>115</v>
      </c>
      <c r="C961" s="53">
        <v>5138.45</v>
      </c>
      <c r="D961" s="56">
        <v>3.9919999999999999E-3</v>
      </c>
    </row>
    <row r="962" spans="1:4" ht="15.6" x14ac:dyDescent="0.3">
      <c r="A962" s="54" t="s">
        <v>130</v>
      </c>
      <c r="B962" s="52" t="s">
        <v>115</v>
      </c>
      <c r="C962" s="53">
        <v>5086.99</v>
      </c>
      <c r="D962" s="56">
        <v>3.9519999999999998E-3</v>
      </c>
    </row>
    <row r="963" spans="1:4" ht="15.6" x14ac:dyDescent="0.3">
      <c r="A963" s="54" t="s">
        <v>14</v>
      </c>
      <c r="B963" s="52" t="s">
        <v>115</v>
      </c>
      <c r="C963" s="53">
        <v>4950.54</v>
      </c>
      <c r="D963" s="56">
        <v>3.846E-3</v>
      </c>
    </row>
    <row r="964" spans="1:4" ht="15.6" x14ac:dyDescent="0.3">
      <c r="A964" s="54" t="s">
        <v>26</v>
      </c>
      <c r="B964" s="52" t="s">
        <v>115</v>
      </c>
      <c r="C964" s="53">
        <v>4770.22</v>
      </c>
      <c r="D964" s="56">
        <v>3.7059999999999997E-3</v>
      </c>
    </row>
    <row r="965" spans="1:4" ht="15.6" x14ac:dyDescent="0.3">
      <c r="A965" s="54" t="s">
        <v>41</v>
      </c>
      <c r="B965" s="52" t="s">
        <v>115</v>
      </c>
      <c r="C965" s="53">
        <v>4437.91</v>
      </c>
      <c r="D965" s="56">
        <v>3.4480000000000001E-3</v>
      </c>
    </row>
    <row r="966" spans="1:4" ht="15.6" x14ac:dyDescent="0.3">
      <c r="A966" s="54" t="s">
        <v>21</v>
      </c>
      <c r="B966" s="52" t="s">
        <v>115</v>
      </c>
      <c r="C966" s="53">
        <v>4413.42</v>
      </c>
      <c r="D966" s="56">
        <v>3.4289999999999998E-3</v>
      </c>
    </row>
    <row r="967" spans="1:4" ht="15.6" x14ac:dyDescent="0.3">
      <c r="A967" s="54" t="s">
        <v>30</v>
      </c>
      <c r="B967" s="52" t="s">
        <v>115</v>
      </c>
      <c r="C967" s="53">
        <v>4278.93</v>
      </c>
      <c r="D967" s="56">
        <v>3.3250000000000003E-3</v>
      </c>
    </row>
    <row r="968" spans="1:4" ht="15.6" x14ac:dyDescent="0.3">
      <c r="A968" s="54" t="s">
        <v>38</v>
      </c>
      <c r="B968" s="52" t="s">
        <v>115</v>
      </c>
      <c r="C968" s="53">
        <v>4114.74</v>
      </c>
      <c r="D968" s="56">
        <v>3.1969999999999998E-3</v>
      </c>
    </row>
    <row r="969" spans="1:4" ht="15.6" x14ac:dyDescent="0.3">
      <c r="A969" s="54" t="s">
        <v>47</v>
      </c>
      <c r="B969" s="52" t="s">
        <v>115</v>
      </c>
      <c r="C969" s="53">
        <v>4073.77</v>
      </c>
      <c r="D969" s="56">
        <v>3.1649999999999998E-3</v>
      </c>
    </row>
    <row r="970" spans="1:4" ht="15.6" x14ac:dyDescent="0.3">
      <c r="A970" s="54" t="s">
        <v>39</v>
      </c>
      <c r="B970" s="52" t="s">
        <v>115</v>
      </c>
      <c r="C970" s="53">
        <v>4019.35</v>
      </c>
      <c r="D970" s="56">
        <v>3.1230000000000003E-3</v>
      </c>
    </row>
    <row r="971" spans="1:4" ht="15.6" x14ac:dyDescent="0.3">
      <c r="A971" s="54" t="s">
        <v>32</v>
      </c>
      <c r="B971" s="52" t="s">
        <v>115</v>
      </c>
      <c r="C971" s="53">
        <v>3925.89</v>
      </c>
      <c r="D971" s="56">
        <v>3.0499999999999998E-3</v>
      </c>
    </row>
    <row r="972" spans="1:4" ht="15.6" x14ac:dyDescent="0.3">
      <c r="A972" s="54" t="s">
        <v>145</v>
      </c>
      <c r="B972" s="52" t="s">
        <v>115</v>
      </c>
      <c r="C972" s="53">
        <v>3918.63</v>
      </c>
      <c r="D972" s="56">
        <v>3.045E-3</v>
      </c>
    </row>
    <row r="973" spans="1:4" ht="15.6" x14ac:dyDescent="0.3">
      <c r="A973" s="54" t="s">
        <v>74</v>
      </c>
      <c r="B973" s="52" t="s">
        <v>115</v>
      </c>
      <c r="C973" s="53">
        <v>3797.6</v>
      </c>
      <c r="D973" s="56">
        <v>2.9509999999999996E-3</v>
      </c>
    </row>
    <row r="974" spans="1:4" ht="15.6" x14ac:dyDescent="0.3">
      <c r="A974" s="54" t="s">
        <v>27</v>
      </c>
      <c r="B974" s="52" t="s">
        <v>115</v>
      </c>
      <c r="C974" s="53">
        <v>3509.14</v>
      </c>
      <c r="D974" s="56">
        <v>2.7260000000000001E-3</v>
      </c>
    </row>
    <row r="975" spans="1:4" ht="15.6" x14ac:dyDescent="0.3">
      <c r="A975" s="54" t="s">
        <v>165</v>
      </c>
      <c r="B975" s="52" t="s">
        <v>115</v>
      </c>
      <c r="C975" s="53">
        <v>2956.46</v>
      </c>
      <c r="D975" s="56">
        <v>2.297E-3</v>
      </c>
    </row>
    <row r="976" spans="1:4" ht="15.6" x14ac:dyDescent="0.3">
      <c r="A976" s="54" t="s">
        <v>25</v>
      </c>
      <c r="B976" s="52" t="s">
        <v>115</v>
      </c>
      <c r="C976" s="53">
        <v>2893.77</v>
      </c>
      <c r="D976" s="56">
        <v>2.248E-3</v>
      </c>
    </row>
    <row r="977" spans="1:4" ht="15.6" x14ac:dyDescent="0.3">
      <c r="A977" s="54" t="s">
        <v>46</v>
      </c>
      <c r="B977" s="52" t="s">
        <v>115</v>
      </c>
      <c r="C977" s="53">
        <v>2796.53</v>
      </c>
      <c r="D977" s="56">
        <v>2.173E-3</v>
      </c>
    </row>
    <row r="978" spans="1:4" ht="15.6" x14ac:dyDescent="0.3">
      <c r="A978" s="54" t="s">
        <v>56</v>
      </c>
      <c r="B978" s="52" t="s">
        <v>115</v>
      </c>
      <c r="C978" s="53">
        <v>2486.4499999999998</v>
      </c>
      <c r="D978" s="56">
        <v>1.9320000000000001E-3</v>
      </c>
    </row>
    <row r="979" spans="1:4" ht="15.6" x14ac:dyDescent="0.3">
      <c r="A979" s="54" t="s">
        <v>54</v>
      </c>
      <c r="B979" s="52" t="s">
        <v>115</v>
      </c>
      <c r="C979" s="53">
        <v>2182.42</v>
      </c>
      <c r="D979" s="56">
        <v>1.696E-3</v>
      </c>
    </row>
    <row r="980" spans="1:4" ht="15.6" x14ac:dyDescent="0.3">
      <c r="A980" s="54" t="s">
        <v>28</v>
      </c>
      <c r="B980" s="52" t="s">
        <v>115</v>
      </c>
      <c r="C980" s="53">
        <v>2172.61</v>
      </c>
      <c r="D980" s="56">
        <v>1.688E-3</v>
      </c>
    </row>
    <row r="981" spans="1:4" ht="15.6" x14ac:dyDescent="0.3">
      <c r="A981" s="54" t="s">
        <v>43</v>
      </c>
      <c r="B981" s="52" t="s">
        <v>115</v>
      </c>
      <c r="C981" s="53">
        <v>1963.42</v>
      </c>
      <c r="D981" s="56">
        <v>1.5249999999999999E-3</v>
      </c>
    </row>
    <row r="982" spans="1:4" ht="15.6" x14ac:dyDescent="0.3">
      <c r="A982" s="54" t="s">
        <v>169</v>
      </c>
      <c r="B982" s="52" t="s">
        <v>115</v>
      </c>
      <c r="C982" s="53">
        <v>1868.45</v>
      </c>
      <c r="D982" s="56">
        <v>1.4519999999999999E-3</v>
      </c>
    </row>
    <row r="983" spans="1:4" ht="15.6" x14ac:dyDescent="0.3">
      <c r="A983" s="54" t="s">
        <v>64</v>
      </c>
      <c r="B983" s="52" t="s">
        <v>115</v>
      </c>
      <c r="C983" s="53">
        <v>1641.9</v>
      </c>
      <c r="D983" s="56">
        <v>1.276E-3</v>
      </c>
    </row>
    <row r="984" spans="1:4" ht="15.6" x14ac:dyDescent="0.3">
      <c r="A984" s="54" t="s">
        <v>40</v>
      </c>
      <c r="B984" s="52" t="s">
        <v>115</v>
      </c>
      <c r="C984" s="53">
        <v>898.44</v>
      </c>
      <c r="D984" s="56">
        <v>6.9800000000000005E-4</v>
      </c>
    </row>
    <row r="985" spans="1:4" ht="15.6" x14ac:dyDescent="0.3">
      <c r="A985" s="54" t="s">
        <v>45</v>
      </c>
      <c r="B985" s="52" t="s">
        <v>115</v>
      </c>
      <c r="C985" s="53">
        <v>774.42</v>
      </c>
      <c r="D985" s="56">
        <v>6.02E-4</v>
      </c>
    </row>
    <row r="986" spans="1:4" ht="15.6" x14ac:dyDescent="0.3">
      <c r="A986" s="54" t="s">
        <v>63</v>
      </c>
      <c r="B986" s="52" t="s">
        <v>115</v>
      </c>
      <c r="C986" s="53">
        <v>768.36</v>
      </c>
      <c r="D986" s="56">
        <v>5.9699999999999998E-4</v>
      </c>
    </row>
    <row r="987" spans="1:4" ht="15.6" x14ac:dyDescent="0.3">
      <c r="A987" s="54" t="s">
        <v>37</v>
      </c>
      <c r="B987" s="52" t="s">
        <v>115</v>
      </c>
      <c r="C987" s="53">
        <v>707.39</v>
      </c>
      <c r="D987" s="56">
        <v>5.5000000000000003E-4</v>
      </c>
    </row>
    <row r="988" spans="1:4" ht="15.6" x14ac:dyDescent="0.3">
      <c r="A988" s="54" t="s">
        <v>161</v>
      </c>
      <c r="B988" s="52" t="s">
        <v>115</v>
      </c>
      <c r="C988" s="53">
        <v>640.48</v>
      </c>
      <c r="D988" s="56">
        <v>4.9799999999999996E-4</v>
      </c>
    </row>
    <row r="989" spans="1:4" ht="15.6" x14ac:dyDescent="0.3">
      <c r="A989" s="54" t="s">
        <v>31</v>
      </c>
      <c r="B989" s="52" t="s">
        <v>115</v>
      </c>
      <c r="C989" s="53">
        <v>632.16</v>
      </c>
      <c r="D989" s="56">
        <v>4.9100000000000001E-4</v>
      </c>
    </row>
    <row r="990" spans="1:4" ht="15.6" x14ac:dyDescent="0.3">
      <c r="A990" s="54" t="s">
        <v>50</v>
      </c>
      <c r="B990" s="52" t="s">
        <v>115</v>
      </c>
      <c r="C990" s="53">
        <v>624.38</v>
      </c>
      <c r="D990" s="56">
        <v>4.8500000000000003E-4</v>
      </c>
    </row>
    <row r="991" spans="1:4" ht="15.6" x14ac:dyDescent="0.3">
      <c r="A991" s="54" t="s">
        <v>83</v>
      </c>
      <c r="B991" s="52" t="s">
        <v>115</v>
      </c>
      <c r="C991" s="53">
        <v>558</v>
      </c>
      <c r="D991" s="56">
        <v>4.3400000000000003E-4</v>
      </c>
    </row>
    <row r="992" spans="1:4" ht="15.6" x14ac:dyDescent="0.3">
      <c r="A992" s="54" t="s">
        <v>88</v>
      </c>
      <c r="B992" s="52" t="s">
        <v>115</v>
      </c>
      <c r="C992" s="53">
        <v>539.54</v>
      </c>
      <c r="D992" s="56">
        <v>4.1899999999999999E-4</v>
      </c>
    </row>
    <row r="993" spans="1:4" ht="15.6" x14ac:dyDescent="0.3">
      <c r="A993" s="54" t="s">
        <v>81</v>
      </c>
      <c r="B993" s="52" t="s">
        <v>115</v>
      </c>
      <c r="C993" s="53">
        <v>520.66999999999996</v>
      </c>
      <c r="D993" s="56">
        <v>4.0500000000000003E-4</v>
      </c>
    </row>
    <row r="994" spans="1:4" ht="15.6" x14ac:dyDescent="0.3">
      <c r="A994" s="54" t="s">
        <v>76</v>
      </c>
      <c r="B994" s="52" t="s">
        <v>115</v>
      </c>
      <c r="C994" s="53">
        <v>437.68</v>
      </c>
      <c r="D994" s="56">
        <v>3.4000000000000002E-4</v>
      </c>
    </row>
    <row r="995" spans="1:4" ht="15.6" x14ac:dyDescent="0.3">
      <c r="A995" s="54" t="s">
        <v>44</v>
      </c>
      <c r="B995" s="52" t="s">
        <v>115</v>
      </c>
      <c r="C995" s="53">
        <v>358.96</v>
      </c>
      <c r="D995" s="56">
        <v>2.7900000000000001E-4</v>
      </c>
    </row>
    <row r="996" spans="1:4" ht="15.6" x14ac:dyDescent="0.3">
      <c r="A996" s="54" t="s">
        <v>164</v>
      </c>
      <c r="B996" s="52" t="s">
        <v>115</v>
      </c>
      <c r="C996" s="53">
        <v>318.38</v>
      </c>
      <c r="D996" s="56">
        <v>2.4699999999999999E-4</v>
      </c>
    </row>
    <row r="997" spans="1:4" ht="15.6" x14ac:dyDescent="0.3">
      <c r="A997" s="54" t="s">
        <v>61</v>
      </c>
      <c r="B997" s="52" t="s">
        <v>115</v>
      </c>
      <c r="C997" s="53">
        <v>317.64999999999998</v>
      </c>
      <c r="D997" s="56">
        <v>2.4699999999999999E-4</v>
      </c>
    </row>
    <row r="998" spans="1:4" ht="15.6" x14ac:dyDescent="0.3">
      <c r="A998" s="54" t="s">
        <v>53</v>
      </c>
      <c r="B998" s="52" t="s">
        <v>115</v>
      </c>
      <c r="C998" s="53">
        <v>314.60000000000002</v>
      </c>
      <c r="D998" s="56">
        <v>2.4400000000000002E-4</v>
      </c>
    </row>
    <row r="999" spans="1:4" ht="15.6" x14ac:dyDescent="0.3">
      <c r="A999" s="54" t="s">
        <v>65</v>
      </c>
      <c r="B999" s="52" t="s">
        <v>115</v>
      </c>
      <c r="C999" s="53">
        <v>307.88</v>
      </c>
      <c r="D999" s="56">
        <v>2.3900000000000001E-4</v>
      </c>
    </row>
    <row r="1000" spans="1:4" ht="15.6" x14ac:dyDescent="0.3">
      <c r="A1000" s="54" t="s">
        <v>170</v>
      </c>
      <c r="B1000" s="52" t="s">
        <v>115</v>
      </c>
      <c r="C1000" s="53">
        <v>250.73</v>
      </c>
      <c r="D1000" s="56">
        <v>1.95E-4</v>
      </c>
    </row>
    <row r="1001" spans="1:4" ht="15.6" x14ac:dyDescent="0.3">
      <c r="A1001" s="54" t="s">
        <v>22</v>
      </c>
      <c r="B1001" s="52" t="s">
        <v>115</v>
      </c>
      <c r="C1001" s="53">
        <v>236.5</v>
      </c>
      <c r="D1001" s="56">
        <v>1.84E-4</v>
      </c>
    </row>
    <row r="1002" spans="1:4" ht="15.6" x14ac:dyDescent="0.3">
      <c r="A1002" s="54" t="s">
        <v>166</v>
      </c>
      <c r="B1002" s="52" t="s">
        <v>115</v>
      </c>
      <c r="C1002" s="53">
        <v>218.12</v>
      </c>
      <c r="D1002" s="56">
        <v>1.6899999999999999E-4</v>
      </c>
    </row>
    <row r="1003" spans="1:4" ht="15.6" x14ac:dyDescent="0.3">
      <c r="A1003" s="54" t="s">
        <v>55</v>
      </c>
      <c r="B1003" s="52" t="s">
        <v>115</v>
      </c>
      <c r="C1003" s="53">
        <v>185.14</v>
      </c>
      <c r="D1003" s="56">
        <v>1.44E-4</v>
      </c>
    </row>
    <row r="1004" spans="1:4" ht="15.6" x14ac:dyDescent="0.3">
      <c r="A1004" s="54" t="s">
        <v>35</v>
      </c>
      <c r="B1004" s="52" t="s">
        <v>115</v>
      </c>
      <c r="C1004" s="53">
        <v>173.44</v>
      </c>
      <c r="D1004" s="56">
        <v>1.35E-4</v>
      </c>
    </row>
    <row r="1005" spans="1:4" ht="15.6" x14ac:dyDescent="0.3">
      <c r="A1005" s="54" t="s">
        <v>94</v>
      </c>
      <c r="B1005" s="52" t="s">
        <v>115</v>
      </c>
      <c r="C1005" s="53">
        <v>156.02000000000001</v>
      </c>
      <c r="D1005" s="56">
        <v>1.21E-4</v>
      </c>
    </row>
    <row r="1006" spans="1:4" ht="15.6" x14ac:dyDescent="0.3">
      <c r="A1006" s="54" t="s">
        <v>171</v>
      </c>
      <c r="B1006" s="52" t="s">
        <v>115</v>
      </c>
      <c r="C1006" s="53">
        <v>136.30000000000001</v>
      </c>
      <c r="D1006" s="56">
        <v>1.06E-4</v>
      </c>
    </row>
    <row r="1007" spans="1:4" ht="15.6" x14ac:dyDescent="0.3">
      <c r="A1007" s="54" t="s">
        <v>84</v>
      </c>
      <c r="B1007" s="52" t="s">
        <v>115</v>
      </c>
      <c r="C1007" s="53">
        <v>135</v>
      </c>
      <c r="D1007" s="56">
        <v>1.05E-4</v>
      </c>
    </row>
    <row r="1008" spans="1:4" ht="15.6" x14ac:dyDescent="0.3">
      <c r="A1008" s="54" t="s">
        <v>62</v>
      </c>
      <c r="B1008" s="52" t="s">
        <v>115</v>
      </c>
      <c r="C1008" s="53">
        <v>112.28</v>
      </c>
      <c r="D1008" s="56">
        <v>8.7000000000000001E-5</v>
      </c>
    </row>
    <row r="1009" spans="1:7" ht="15.6" x14ac:dyDescent="0.3">
      <c r="A1009" s="54" t="s">
        <v>66</v>
      </c>
      <c r="B1009" s="52" t="s">
        <v>115</v>
      </c>
      <c r="C1009" s="53">
        <v>108.01</v>
      </c>
      <c r="D1009" s="56">
        <v>8.3999999999999995E-5</v>
      </c>
    </row>
    <row r="1010" spans="1:7" ht="15.6" x14ac:dyDescent="0.3">
      <c r="A1010" s="54" t="s">
        <v>80</v>
      </c>
      <c r="B1010" s="52" t="s">
        <v>115</v>
      </c>
      <c r="C1010" s="53">
        <v>107.54</v>
      </c>
      <c r="D1010" s="56">
        <v>8.3999999999999995E-5</v>
      </c>
    </row>
    <row r="1011" spans="1:7" ht="15.6" x14ac:dyDescent="0.3">
      <c r="A1011" s="54" t="s">
        <v>133</v>
      </c>
      <c r="B1011" s="52" t="s">
        <v>115</v>
      </c>
      <c r="C1011" s="53">
        <v>101</v>
      </c>
      <c r="D1011" s="56">
        <v>7.7999999999999999E-5</v>
      </c>
    </row>
    <row r="1012" spans="1:7" ht="15.6" x14ac:dyDescent="0.3">
      <c r="A1012" s="54" t="s">
        <v>23</v>
      </c>
      <c r="B1012" s="52" t="s">
        <v>115</v>
      </c>
      <c r="C1012" s="53">
        <v>99.96</v>
      </c>
      <c r="D1012" s="56">
        <v>7.7999999999999999E-5</v>
      </c>
    </row>
    <row r="1013" spans="1:7" ht="15.6" x14ac:dyDescent="0.3">
      <c r="A1013" s="54" t="s">
        <v>67</v>
      </c>
      <c r="B1013" s="52" t="s">
        <v>115</v>
      </c>
      <c r="C1013" s="53">
        <v>70.650000000000006</v>
      </c>
      <c r="D1013" s="56">
        <v>5.4999999999999995E-5</v>
      </c>
    </row>
    <row r="1014" spans="1:7" ht="15.6" x14ac:dyDescent="0.3">
      <c r="A1014" s="54" t="s">
        <v>60</v>
      </c>
      <c r="B1014" s="52" t="s">
        <v>115</v>
      </c>
      <c r="C1014" s="53">
        <v>58.81</v>
      </c>
      <c r="D1014" s="56">
        <v>4.6E-5</v>
      </c>
    </row>
    <row r="1015" spans="1:7" ht="15.6" x14ac:dyDescent="0.3">
      <c r="A1015" s="54" t="s">
        <v>37</v>
      </c>
      <c r="B1015" s="52" t="s">
        <v>115</v>
      </c>
      <c r="C1015" s="53">
        <v>46.7</v>
      </c>
      <c r="D1015" s="56">
        <v>3.6000000000000001E-5</v>
      </c>
    </row>
    <row r="1016" spans="1:7" ht="15.6" x14ac:dyDescent="0.3">
      <c r="A1016" s="54" t="s">
        <v>68</v>
      </c>
      <c r="B1016" s="52" t="s">
        <v>115</v>
      </c>
      <c r="C1016" s="53">
        <v>46.02</v>
      </c>
      <c r="D1016" s="56">
        <v>3.6000000000000001E-5</v>
      </c>
    </row>
    <row r="1017" spans="1:7" ht="15.6" x14ac:dyDescent="0.3">
      <c r="A1017" s="54" t="s">
        <v>33</v>
      </c>
      <c r="B1017" s="52" t="s">
        <v>115</v>
      </c>
      <c r="C1017" s="53">
        <v>23.94</v>
      </c>
      <c r="D1017" s="56">
        <v>1.9000000000000001E-5</v>
      </c>
    </row>
    <row r="1018" spans="1:7" ht="15.6" x14ac:dyDescent="0.3">
      <c r="A1018" s="54" t="s">
        <v>52</v>
      </c>
      <c r="B1018" s="52" t="s">
        <v>115</v>
      </c>
      <c r="C1018" s="53">
        <v>23.94</v>
      </c>
      <c r="D1018" s="56">
        <v>1.9000000000000001E-5</v>
      </c>
    </row>
    <row r="1019" spans="1:7" ht="15.6" x14ac:dyDescent="0.3">
      <c r="A1019" s="54" t="s">
        <v>149</v>
      </c>
      <c r="B1019" s="52" t="s">
        <v>115</v>
      </c>
      <c r="C1019" s="53">
        <v>19.62</v>
      </c>
      <c r="D1019" s="56">
        <v>1.5E-5</v>
      </c>
    </row>
    <row r="1020" spans="1:7" ht="15.6" x14ac:dyDescent="0.3">
      <c r="A1020" s="54" t="s">
        <v>85</v>
      </c>
      <c r="B1020" s="52" t="s">
        <v>115</v>
      </c>
      <c r="C1020" s="53">
        <v>18.899999999999999</v>
      </c>
      <c r="D1020" s="56">
        <v>1.5E-5</v>
      </c>
    </row>
    <row r="1021" spans="1:7" ht="15.6" x14ac:dyDescent="0.3">
      <c r="A1021" s="54" t="s">
        <v>97</v>
      </c>
      <c r="B1021" s="52" t="s">
        <v>115</v>
      </c>
      <c r="C1021" s="53">
        <v>12.48</v>
      </c>
      <c r="D1021" s="56">
        <v>1.0000000000000001E-5</v>
      </c>
    </row>
    <row r="1022" spans="1:7" ht="15.6" x14ac:dyDescent="0.3">
      <c r="A1022" s="54" t="s">
        <v>132</v>
      </c>
      <c r="B1022" s="52" t="s">
        <v>115</v>
      </c>
      <c r="C1022" s="53">
        <v>12.37</v>
      </c>
      <c r="D1022" s="56">
        <v>1.0000000000000001E-5</v>
      </c>
    </row>
    <row r="1023" spans="1:7" ht="15.6" x14ac:dyDescent="0.3">
      <c r="A1023" s="54" t="s">
        <v>100</v>
      </c>
      <c r="B1023" s="52" t="s">
        <v>115</v>
      </c>
      <c r="C1023" s="53">
        <v>4.9800000000000004</v>
      </c>
      <c r="D1023" s="56">
        <v>3.9999999999999998E-6</v>
      </c>
    </row>
    <row r="1024" spans="1:7" s="68" customFormat="1" ht="15.6" x14ac:dyDescent="0.3">
      <c r="A1024" s="63"/>
      <c r="B1024" s="64"/>
      <c r="C1024" s="65"/>
      <c r="D1024" s="66"/>
      <c r="E1024" s="67"/>
      <c r="G1024" s="69"/>
    </row>
    <row r="1025" spans="1:7" s="68" customFormat="1" ht="15.6" x14ac:dyDescent="0.3">
      <c r="A1025" s="63"/>
      <c r="B1025" s="64"/>
      <c r="C1025" s="65"/>
      <c r="D1025" s="66"/>
      <c r="E1025" s="67"/>
      <c r="G1025" s="69"/>
    </row>
    <row r="1026" spans="1:7" s="68" customFormat="1" ht="15.6" x14ac:dyDescent="0.3">
      <c r="A1026" s="63"/>
      <c r="B1026" s="64"/>
      <c r="C1026" s="65"/>
      <c r="D1026" s="66"/>
      <c r="E1026" s="67"/>
      <c r="G1026" s="69"/>
    </row>
    <row r="1027" spans="1:7" s="68" customFormat="1" ht="15.6" x14ac:dyDescent="0.3">
      <c r="A1027" s="63"/>
      <c r="B1027" s="64"/>
      <c r="C1027" s="65"/>
      <c r="D1027" s="66"/>
      <c r="E1027" s="67"/>
      <c r="G1027" s="69"/>
    </row>
    <row r="1028" spans="1:7" s="68" customFormat="1" ht="15.6" x14ac:dyDescent="0.3">
      <c r="A1028" s="63"/>
      <c r="B1028" s="64"/>
      <c r="C1028" s="65"/>
      <c r="D1028" s="66"/>
      <c r="E1028" s="67"/>
      <c r="G1028" s="69"/>
    </row>
    <row r="1029" spans="1:7" s="68" customFormat="1" ht="15.6" x14ac:dyDescent="0.3">
      <c r="A1029" s="63"/>
      <c r="B1029" s="64"/>
      <c r="C1029" s="65"/>
      <c r="D1029" s="66"/>
      <c r="E1029" s="67"/>
      <c r="G1029" s="69"/>
    </row>
    <row r="1030" spans="1:7" s="68" customFormat="1" ht="15.6" x14ac:dyDescent="0.3">
      <c r="A1030" s="63"/>
      <c r="B1030" s="64"/>
      <c r="C1030" s="65"/>
      <c r="D1030" s="66"/>
      <c r="E1030" s="67"/>
      <c r="G1030" s="69"/>
    </row>
    <row r="1031" spans="1:7" s="68" customFormat="1" ht="15.6" x14ac:dyDescent="0.3">
      <c r="A1031" s="63"/>
      <c r="B1031" s="64"/>
      <c r="C1031" s="65"/>
      <c r="D1031" s="66"/>
      <c r="E1031" s="67"/>
      <c r="G1031" s="69"/>
    </row>
    <row r="1032" spans="1:7" s="68" customFormat="1" ht="15.6" x14ac:dyDescent="0.3">
      <c r="A1032" s="63"/>
      <c r="B1032" s="64"/>
      <c r="C1032" s="65"/>
      <c r="D1032" s="66"/>
      <c r="E1032" s="67"/>
      <c r="G1032" s="69"/>
    </row>
    <row r="1033" spans="1:7" s="68" customFormat="1" ht="15.6" x14ac:dyDescent="0.3">
      <c r="A1033" s="63"/>
      <c r="B1033" s="64"/>
      <c r="C1033" s="65"/>
      <c r="D1033" s="66"/>
      <c r="E1033" s="67"/>
      <c r="G1033" s="69"/>
    </row>
    <row r="1034" spans="1:7" s="68" customFormat="1" ht="15.6" x14ac:dyDescent="0.3">
      <c r="A1034" s="63"/>
      <c r="B1034" s="64"/>
      <c r="C1034" s="65"/>
      <c r="D1034" s="66"/>
      <c r="E1034" s="67"/>
      <c r="G1034" s="69"/>
    </row>
    <row r="1035" spans="1:7" s="68" customFormat="1" ht="15.6" x14ac:dyDescent="0.3">
      <c r="A1035" s="63"/>
      <c r="B1035" s="64"/>
      <c r="C1035" s="65"/>
      <c r="D1035" s="66"/>
      <c r="E1035" s="67"/>
      <c r="G1035" s="69"/>
    </row>
    <row r="1036" spans="1:7" s="68" customFormat="1" ht="15.6" x14ac:dyDescent="0.3">
      <c r="A1036" s="63"/>
      <c r="B1036" s="64"/>
      <c r="C1036" s="65"/>
      <c r="D1036" s="66"/>
      <c r="E1036" s="67"/>
      <c r="G1036" s="69"/>
    </row>
    <row r="1037" spans="1:7" s="68" customFormat="1" ht="15.6" x14ac:dyDescent="0.3">
      <c r="A1037" s="63"/>
      <c r="B1037" s="64"/>
      <c r="C1037" s="65"/>
      <c r="D1037" s="66"/>
      <c r="E1037" s="67"/>
      <c r="G1037" s="69"/>
    </row>
    <row r="1038" spans="1:7" s="68" customFormat="1" ht="15.6" x14ac:dyDescent="0.3">
      <c r="A1038" s="63"/>
      <c r="B1038" s="64"/>
      <c r="C1038" s="65"/>
      <c r="D1038" s="66"/>
      <c r="E1038" s="67"/>
      <c r="G1038" s="69"/>
    </row>
    <row r="1039" spans="1:7" s="68" customFormat="1" ht="15.6" x14ac:dyDescent="0.3">
      <c r="A1039" s="63"/>
      <c r="B1039" s="64"/>
      <c r="C1039" s="65"/>
      <c r="D1039" s="66"/>
      <c r="E1039" s="67"/>
      <c r="G1039" s="69"/>
    </row>
    <row r="1040" spans="1:7" s="68" customFormat="1" ht="15.6" x14ac:dyDescent="0.3">
      <c r="A1040" s="63"/>
      <c r="B1040" s="64"/>
      <c r="C1040" s="65"/>
      <c r="D1040" s="66"/>
      <c r="E1040" s="67"/>
      <c r="G1040" s="69"/>
    </row>
    <row r="1041" spans="1:7" s="68" customFormat="1" ht="15.6" x14ac:dyDescent="0.3">
      <c r="A1041" s="63"/>
      <c r="B1041" s="64"/>
      <c r="C1041" s="65"/>
      <c r="D1041" s="66"/>
      <c r="E1041" s="67"/>
      <c r="G1041" s="69"/>
    </row>
    <row r="1042" spans="1:7" s="68" customFormat="1" ht="15.6" x14ac:dyDescent="0.3">
      <c r="A1042" s="63"/>
      <c r="B1042" s="64"/>
      <c r="C1042" s="65"/>
      <c r="D1042" s="66"/>
      <c r="E1042" s="67"/>
      <c r="G1042" s="69"/>
    </row>
    <row r="1043" spans="1:7" s="68" customFormat="1" ht="15.6" x14ac:dyDescent="0.3">
      <c r="A1043" s="63"/>
      <c r="B1043" s="64"/>
      <c r="C1043" s="65"/>
      <c r="D1043" s="66"/>
      <c r="E1043" s="67"/>
      <c r="G1043" s="69"/>
    </row>
    <row r="1044" spans="1:7" s="68" customFormat="1" ht="15.6" x14ac:dyDescent="0.3">
      <c r="A1044" s="63"/>
      <c r="B1044" s="64"/>
      <c r="C1044" s="65"/>
      <c r="D1044" s="66"/>
      <c r="E1044" s="67"/>
      <c r="G1044" s="69"/>
    </row>
    <row r="1045" spans="1:7" s="68" customFormat="1" ht="15.6" x14ac:dyDescent="0.3">
      <c r="A1045" s="63"/>
      <c r="B1045" s="64"/>
      <c r="C1045" s="65"/>
      <c r="D1045" s="66"/>
      <c r="E1045" s="67"/>
      <c r="G1045" s="69"/>
    </row>
    <row r="1046" spans="1:7" s="68" customFormat="1" ht="15.6" x14ac:dyDescent="0.3">
      <c r="A1046" s="63"/>
      <c r="B1046" s="64"/>
      <c r="C1046" s="65"/>
      <c r="D1046" s="66"/>
      <c r="E1046" s="67"/>
      <c r="G1046" s="69"/>
    </row>
    <row r="1047" spans="1:7" s="68" customFormat="1" ht="15.6" x14ac:dyDescent="0.3">
      <c r="A1047" s="63"/>
      <c r="B1047" s="64"/>
      <c r="C1047" s="65"/>
      <c r="D1047" s="66"/>
      <c r="E1047" s="67"/>
      <c r="G1047" s="69"/>
    </row>
    <row r="1048" spans="1:7" s="68" customFormat="1" ht="15.6" x14ac:dyDescent="0.3">
      <c r="A1048" s="63"/>
      <c r="B1048" s="64"/>
      <c r="C1048" s="65"/>
      <c r="D1048" s="66"/>
      <c r="E1048" s="67"/>
      <c r="G1048" s="69"/>
    </row>
    <row r="1049" spans="1:7" s="68" customFormat="1" ht="15.6" x14ac:dyDescent="0.3">
      <c r="A1049" s="63"/>
      <c r="B1049" s="64"/>
      <c r="C1049" s="65"/>
      <c r="D1049" s="66"/>
      <c r="E1049" s="67"/>
      <c r="G1049" s="69"/>
    </row>
    <row r="1050" spans="1:7" s="68" customFormat="1" ht="15.6" x14ac:dyDescent="0.3">
      <c r="A1050" s="63"/>
      <c r="B1050" s="64"/>
      <c r="C1050" s="65"/>
      <c r="D1050" s="66"/>
      <c r="E1050" s="67"/>
      <c r="G1050" s="69"/>
    </row>
    <row r="1051" spans="1:7" s="68" customFormat="1" ht="15.6" x14ac:dyDescent="0.3">
      <c r="A1051" s="63"/>
      <c r="B1051" s="64"/>
      <c r="C1051" s="65"/>
      <c r="D1051" s="66"/>
      <c r="E1051" s="67"/>
      <c r="G1051" s="69"/>
    </row>
    <row r="1052" spans="1:7" s="68" customFormat="1" ht="15.6" x14ac:dyDescent="0.3">
      <c r="A1052" s="63"/>
      <c r="B1052" s="64"/>
      <c r="C1052" s="65"/>
      <c r="D1052" s="66"/>
      <c r="E1052" s="67"/>
      <c r="G1052" s="69"/>
    </row>
    <row r="1053" spans="1:7" s="68" customFormat="1" ht="15.6" x14ac:dyDescent="0.3">
      <c r="A1053" s="63"/>
      <c r="B1053" s="64"/>
      <c r="C1053" s="65"/>
      <c r="D1053" s="66"/>
      <c r="E1053" s="67"/>
      <c r="G1053" s="69"/>
    </row>
    <row r="1054" spans="1:7" s="68" customFormat="1" ht="15.6" x14ac:dyDescent="0.3">
      <c r="A1054" s="63"/>
      <c r="B1054" s="64"/>
      <c r="C1054" s="65"/>
      <c r="D1054" s="66"/>
      <c r="E1054" s="67"/>
      <c r="G1054" s="69"/>
    </row>
    <row r="1055" spans="1:7" s="68" customFormat="1" ht="15.6" x14ac:dyDescent="0.3">
      <c r="A1055" s="63"/>
      <c r="B1055" s="64"/>
      <c r="C1055" s="65"/>
      <c r="D1055" s="66"/>
      <c r="E1055" s="67"/>
      <c r="G1055" s="69"/>
    </row>
    <row r="1056" spans="1:7" s="68" customFormat="1" ht="15.6" x14ac:dyDescent="0.3">
      <c r="A1056" s="63"/>
      <c r="B1056" s="64"/>
      <c r="C1056" s="65"/>
      <c r="D1056" s="66"/>
      <c r="E1056" s="67"/>
      <c r="G1056" s="69"/>
    </row>
    <row r="1057" spans="1:7" s="68" customFormat="1" ht="15.6" x14ac:dyDescent="0.3">
      <c r="A1057" s="63"/>
      <c r="B1057" s="64"/>
      <c r="C1057" s="65"/>
      <c r="D1057" s="66"/>
      <c r="E1057" s="67"/>
      <c r="G1057" s="69"/>
    </row>
    <row r="1058" spans="1:7" s="68" customFormat="1" ht="15.6" x14ac:dyDescent="0.3">
      <c r="A1058" s="63"/>
      <c r="B1058" s="64"/>
      <c r="C1058" s="65"/>
      <c r="D1058" s="66"/>
      <c r="E1058" s="67"/>
      <c r="G1058" s="69"/>
    </row>
    <row r="1059" spans="1:7" s="68" customFormat="1" ht="15.6" x14ac:dyDescent="0.3">
      <c r="A1059" s="63"/>
      <c r="B1059" s="64"/>
      <c r="C1059" s="65"/>
      <c r="D1059" s="66"/>
      <c r="E1059" s="67"/>
      <c r="G1059" s="69"/>
    </row>
    <row r="1060" spans="1:7" s="68" customFormat="1" ht="15.6" x14ac:dyDescent="0.3">
      <c r="A1060" s="63"/>
      <c r="B1060" s="64"/>
      <c r="C1060" s="65"/>
      <c r="D1060" s="66"/>
      <c r="E1060" s="67"/>
      <c r="G1060" s="69"/>
    </row>
    <row r="1061" spans="1:7" s="68" customFormat="1" ht="15.6" x14ac:dyDescent="0.3">
      <c r="A1061" s="63"/>
      <c r="B1061" s="64"/>
      <c r="C1061" s="65"/>
      <c r="D1061" s="66"/>
      <c r="E1061" s="67"/>
      <c r="G1061" s="69"/>
    </row>
    <row r="1062" spans="1:7" s="68" customFormat="1" ht="15.6" x14ac:dyDescent="0.3">
      <c r="A1062" s="63"/>
      <c r="B1062" s="64"/>
      <c r="C1062" s="65"/>
      <c r="D1062" s="66"/>
      <c r="E1062" s="67"/>
      <c r="G1062" s="69"/>
    </row>
    <row r="1063" spans="1:7" s="68" customFormat="1" ht="15.6" x14ac:dyDescent="0.3">
      <c r="A1063" s="63"/>
      <c r="B1063" s="64"/>
      <c r="C1063" s="65"/>
      <c r="D1063" s="66"/>
      <c r="E1063" s="67"/>
      <c r="G1063" s="69"/>
    </row>
    <row r="1064" spans="1:7" s="68" customFormat="1" ht="15.6" x14ac:dyDescent="0.3">
      <c r="A1064" s="63"/>
      <c r="B1064" s="64"/>
      <c r="C1064" s="65"/>
      <c r="D1064" s="66"/>
      <c r="E1064" s="67"/>
      <c r="G1064" s="69"/>
    </row>
    <row r="1065" spans="1:7" s="68" customFormat="1" ht="15.6" x14ac:dyDescent="0.3">
      <c r="A1065" s="63"/>
      <c r="B1065" s="64"/>
      <c r="C1065" s="65"/>
      <c r="D1065" s="66"/>
      <c r="E1065" s="67"/>
      <c r="G1065" s="69"/>
    </row>
    <row r="1066" spans="1:7" s="68" customFormat="1" ht="15.6" x14ac:dyDescent="0.3">
      <c r="A1066" s="63"/>
      <c r="B1066" s="64"/>
      <c r="C1066" s="65"/>
      <c r="D1066" s="66"/>
      <c r="E1066" s="67"/>
      <c r="G1066" s="69"/>
    </row>
    <row r="1067" spans="1:7" s="68" customFormat="1" ht="15.6" x14ac:dyDescent="0.3">
      <c r="A1067" s="63"/>
      <c r="B1067" s="64"/>
      <c r="C1067" s="65"/>
      <c r="D1067" s="66"/>
      <c r="E1067" s="67"/>
      <c r="G1067" s="69"/>
    </row>
    <row r="1068" spans="1:7" s="68" customFormat="1" ht="15.6" x14ac:dyDescent="0.3">
      <c r="A1068" s="63"/>
      <c r="B1068" s="64"/>
      <c r="C1068" s="65"/>
      <c r="D1068" s="66"/>
      <c r="E1068" s="67"/>
      <c r="G1068" s="69"/>
    </row>
    <row r="1069" spans="1:7" s="68" customFormat="1" ht="15.6" x14ac:dyDescent="0.3">
      <c r="A1069" s="63"/>
      <c r="B1069" s="64"/>
      <c r="C1069" s="65"/>
      <c r="D1069" s="66"/>
      <c r="E1069" s="67"/>
      <c r="G1069" s="69"/>
    </row>
    <row r="1070" spans="1:7" s="68" customFormat="1" ht="15.6" x14ac:dyDescent="0.3">
      <c r="A1070" s="63"/>
      <c r="B1070" s="64"/>
      <c r="C1070" s="65"/>
      <c r="D1070" s="66"/>
      <c r="E1070" s="67"/>
      <c r="G1070" s="69"/>
    </row>
    <row r="1071" spans="1:7" s="68" customFormat="1" ht="15.6" x14ac:dyDescent="0.3">
      <c r="A1071" s="63"/>
      <c r="B1071" s="64"/>
      <c r="C1071" s="65"/>
      <c r="D1071" s="66"/>
      <c r="E1071" s="67"/>
      <c r="G1071" s="69"/>
    </row>
    <row r="1072" spans="1:7" s="68" customFormat="1" ht="15.6" x14ac:dyDescent="0.3">
      <c r="A1072" s="63"/>
      <c r="B1072" s="64"/>
      <c r="C1072" s="65"/>
      <c r="D1072" s="66"/>
      <c r="E1072" s="67"/>
      <c r="G1072" s="69"/>
    </row>
    <row r="1073" spans="1:7" s="68" customFormat="1" ht="15.6" x14ac:dyDescent="0.3">
      <c r="A1073" s="63"/>
      <c r="B1073" s="64"/>
      <c r="C1073" s="65"/>
      <c r="D1073" s="66"/>
      <c r="E1073" s="67"/>
      <c r="G1073" s="69"/>
    </row>
    <row r="1074" spans="1:7" s="68" customFormat="1" ht="15.6" x14ac:dyDescent="0.3">
      <c r="A1074" s="63"/>
      <c r="B1074" s="64"/>
      <c r="C1074" s="65"/>
      <c r="D1074" s="66"/>
      <c r="E1074" s="67"/>
      <c r="G1074" s="69"/>
    </row>
    <row r="1075" spans="1:7" s="68" customFormat="1" ht="15.6" x14ac:dyDescent="0.3">
      <c r="A1075" s="63"/>
      <c r="B1075" s="64"/>
      <c r="C1075" s="65"/>
      <c r="D1075" s="66"/>
      <c r="E1075" s="67"/>
      <c r="G1075" s="69"/>
    </row>
    <row r="1076" spans="1:7" s="68" customFormat="1" ht="15.6" x14ac:dyDescent="0.3">
      <c r="A1076" s="63"/>
      <c r="B1076" s="64"/>
      <c r="C1076" s="65"/>
      <c r="D1076" s="66"/>
      <c r="E1076" s="67"/>
      <c r="G1076" s="69"/>
    </row>
    <row r="1077" spans="1:7" s="68" customFormat="1" ht="15.6" x14ac:dyDescent="0.3">
      <c r="A1077" s="63"/>
      <c r="B1077" s="64"/>
      <c r="C1077" s="65"/>
      <c r="D1077" s="66"/>
      <c r="E1077" s="67"/>
      <c r="G1077" s="69"/>
    </row>
    <row r="1078" spans="1:7" s="68" customFormat="1" ht="15.6" x14ac:dyDescent="0.3">
      <c r="A1078" s="63"/>
      <c r="B1078" s="64"/>
      <c r="C1078" s="65"/>
      <c r="D1078" s="66"/>
      <c r="E1078" s="67"/>
      <c r="G1078" s="69"/>
    </row>
    <row r="1079" spans="1:7" s="68" customFormat="1" ht="15.6" x14ac:dyDescent="0.3">
      <c r="A1079" s="63"/>
      <c r="B1079" s="64"/>
      <c r="C1079" s="65"/>
      <c r="D1079" s="66"/>
      <c r="E1079" s="67"/>
      <c r="G1079" s="69"/>
    </row>
    <row r="1080" spans="1:7" s="68" customFormat="1" ht="15.6" x14ac:dyDescent="0.3">
      <c r="A1080" s="63"/>
      <c r="B1080" s="64"/>
      <c r="C1080" s="65"/>
      <c r="D1080" s="66"/>
      <c r="E1080" s="67"/>
      <c r="G1080" s="69"/>
    </row>
    <row r="1081" spans="1:7" s="68" customFormat="1" ht="15.6" x14ac:dyDescent="0.3">
      <c r="A1081" s="63"/>
      <c r="B1081" s="64"/>
      <c r="C1081" s="65"/>
      <c r="D1081" s="66"/>
      <c r="E1081" s="67"/>
      <c r="G1081" s="69"/>
    </row>
    <row r="1082" spans="1:7" s="68" customFormat="1" ht="15.6" x14ac:dyDescent="0.3">
      <c r="A1082" s="63"/>
      <c r="B1082" s="64"/>
      <c r="C1082" s="65"/>
      <c r="D1082" s="66"/>
      <c r="E1082" s="67"/>
      <c r="G1082" s="69"/>
    </row>
    <row r="1083" spans="1:7" s="68" customFormat="1" ht="15.6" x14ac:dyDescent="0.3">
      <c r="A1083" s="63"/>
      <c r="B1083" s="64"/>
      <c r="C1083" s="65"/>
      <c r="D1083" s="66"/>
      <c r="E1083" s="67"/>
      <c r="G1083" s="69"/>
    </row>
    <row r="1084" spans="1:7" s="68" customFormat="1" ht="15.6" x14ac:dyDescent="0.3">
      <c r="A1084" s="63"/>
      <c r="B1084" s="64"/>
      <c r="C1084" s="65"/>
      <c r="D1084" s="66"/>
      <c r="E1084" s="67"/>
      <c r="G1084" s="69"/>
    </row>
    <row r="1085" spans="1:7" s="68" customFormat="1" ht="15.6" x14ac:dyDescent="0.3">
      <c r="A1085" s="63"/>
      <c r="B1085" s="64"/>
      <c r="C1085" s="65"/>
      <c r="D1085" s="66"/>
      <c r="E1085" s="67"/>
      <c r="G1085" s="69"/>
    </row>
    <row r="1086" spans="1:7" s="68" customFormat="1" ht="15.6" x14ac:dyDescent="0.3">
      <c r="A1086" s="63"/>
      <c r="B1086" s="64"/>
      <c r="C1086" s="65"/>
      <c r="D1086" s="66"/>
      <c r="E1086" s="67"/>
      <c r="G1086" s="69"/>
    </row>
    <row r="1087" spans="1:7" s="68" customFormat="1" ht="15.6" x14ac:dyDescent="0.3">
      <c r="A1087" s="63"/>
      <c r="B1087" s="64"/>
      <c r="C1087" s="65"/>
      <c r="D1087" s="66"/>
      <c r="E1087" s="67"/>
      <c r="G1087" s="69"/>
    </row>
    <row r="1088" spans="1:7" s="68" customFormat="1" ht="15.6" x14ac:dyDescent="0.3">
      <c r="A1088" s="63"/>
      <c r="B1088" s="64"/>
      <c r="C1088" s="65"/>
      <c r="D1088" s="66"/>
      <c r="E1088" s="67"/>
      <c r="G1088" s="69"/>
    </row>
    <row r="1089" spans="1:7" s="68" customFormat="1" ht="15.6" x14ac:dyDescent="0.3">
      <c r="A1089" s="63"/>
      <c r="B1089" s="64"/>
      <c r="C1089" s="65"/>
      <c r="D1089" s="66"/>
      <c r="E1089" s="67"/>
      <c r="G1089" s="69"/>
    </row>
    <row r="1090" spans="1:7" s="68" customFormat="1" ht="15.6" x14ac:dyDescent="0.3">
      <c r="A1090" s="63"/>
      <c r="B1090" s="64"/>
      <c r="C1090" s="65"/>
      <c r="D1090" s="66"/>
      <c r="E1090" s="67"/>
      <c r="G1090" s="69"/>
    </row>
    <row r="1091" spans="1:7" s="68" customFormat="1" ht="15.6" x14ac:dyDescent="0.3">
      <c r="A1091" s="63"/>
      <c r="B1091" s="64"/>
      <c r="C1091" s="65"/>
      <c r="D1091" s="66"/>
      <c r="E1091" s="67"/>
      <c r="G1091" s="69"/>
    </row>
    <row r="1092" spans="1:7" s="68" customFormat="1" ht="15.6" x14ac:dyDescent="0.3">
      <c r="A1092" s="63"/>
      <c r="B1092" s="64"/>
      <c r="C1092" s="65"/>
      <c r="D1092" s="66"/>
      <c r="E1092" s="67"/>
      <c r="G1092" s="69"/>
    </row>
    <row r="1093" spans="1:7" s="68" customFormat="1" ht="15.6" x14ac:dyDescent="0.3">
      <c r="A1093" s="63"/>
      <c r="B1093" s="64"/>
      <c r="C1093" s="65"/>
      <c r="D1093" s="66"/>
      <c r="E1093" s="67"/>
      <c r="G1093" s="69"/>
    </row>
    <row r="1094" spans="1:7" s="68" customFormat="1" ht="15.6" x14ac:dyDescent="0.3">
      <c r="A1094" s="63"/>
      <c r="B1094" s="64"/>
      <c r="C1094" s="65"/>
      <c r="D1094" s="66"/>
      <c r="E1094" s="67"/>
      <c r="G1094" s="69"/>
    </row>
    <row r="1095" spans="1:7" s="68" customFormat="1" ht="15.6" x14ac:dyDescent="0.3">
      <c r="A1095" s="63"/>
      <c r="B1095" s="64"/>
      <c r="C1095" s="65"/>
      <c r="D1095" s="66"/>
      <c r="E1095" s="67"/>
      <c r="G1095" s="69"/>
    </row>
    <row r="1096" spans="1:7" s="68" customFormat="1" ht="15.6" x14ac:dyDescent="0.3">
      <c r="A1096" s="63"/>
      <c r="B1096" s="64"/>
      <c r="C1096" s="65"/>
      <c r="D1096" s="66"/>
      <c r="E1096" s="67"/>
      <c r="G1096" s="69"/>
    </row>
    <row r="1097" spans="1:7" s="68" customFormat="1" ht="15.6" x14ac:dyDescent="0.3">
      <c r="A1097" s="63"/>
      <c r="B1097" s="64"/>
      <c r="C1097" s="65"/>
      <c r="D1097" s="66"/>
      <c r="E1097" s="67"/>
      <c r="G1097" s="69"/>
    </row>
    <row r="1098" spans="1:7" s="68" customFormat="1" ht="15.6" x14ac:dyDescent="0.3">
      <c r="A1098" s="63"/>
      <c r="B1098" s="64"/>
      <c r="C1098" s="65"/>
      <c r="D1098" s="66"/>
      <c r="E1098" s="67"/>
      <c r="G1098" s="69"/>
    </row>
    <row r="1099" spans="1:7" s="68" customFormat="1" ht="15.6" x14ac:dyDescent="0.3">
      <c r="A1099" s="63"/>
      <c r="B1099" s="64"/>
      <c r="C1099" s="65"/>
      <c r="D1099" s="66"/>
      <c r="E1099" s="67"/>
      <c r="G1099" s="69"/>
    </row>
    <row r="1100" spans="1:7" s="68" customFormat="1" ht="15.6" x14ac:dyDescent="0.3">
      <c r="A1100" s="63"/>
      <c r="B1100" s="64"/>
      <c r="C1100" s="65"/>
      <c r="D1100" s="66"/>
      <c r="E1100" s="67"/>
      <c r="G1100" s="69"/>
    </row>
    <row r="1101" spans="1:7" s="68" customFormat="1" ht="15.6" x14ac:dyDescent="0.3">
      <c r="A1101" s="63"/>
      <c r="B1101" s="64"/>
      <c r="C1101" s="65"/>
      <c r="D1101" s="66"/>
      <c r="E1101" s="67"/>
      <c r="G1101" s="69"/>
    </row>
    <row r="1102" spans="1:7" s="68" customFormat="1" ht="15.6" x14ac:dyDescent="0.3">
      <c r="A1102" s="63"/>
      <c r="B1102" s="64"/>
      <c r="C1102" s="65"/>
      <c r="D1102" s="66"/>
      <c r="E1102" s="67"/>
      <c r="G1102" s="69"/>
    </row>
    <row r="1103" spans="1:7" s="68" customFormat="1" ht="15.6" x14ac:dyDescent="0.3">
      <c r="A1103" s="63"/>
      <c r="B1103" s="64"/>
      <c r="C1103" s="65"/>
      <c r="D1103" s="66"/>
      <c r="E1103" s="67"/>
      <c r="G1103" s="69"/>
    </row>
    <row r="1104" spans="1:7" s="68" customFormat="1" ht="15.6" x14ac:dyDescent="0.3">
      <c r="A1104" s="63"/>
      <c r="B1104" s="64"/>
      <c r="C1104" s="65"/>
      <c r="D1104" s="66"/>
      <c r="E1104" s="67"/>
      <c r="G1104" s="69"/>
    </row>
    <row r="1105" spans="1:7" s="68" customFormat="1" ht="15.6" x14ac:dyDescent="0.3">
      <c r="A1105" s="63"/>
      <c r="B1105" s="64"/>
      <c r="C1105" s="65"/>
      <c r="D1105" s="66"/>
      <c r="E1105" s="67"/>
      <c r="G1105" s="69"/>
    </row>
    <row r="1106" spans="1:7" s="68" customFormat="1" ht="15.6" x14ac:dyDescent="0.3">
      <c r="A1106" s="63"/>
      <c r="B1106" s="64"/>
      <c r="C1106" s="65"/>
      <c r="D1106" s="66"/>
      <c r="E1106" s="67"/>
      <c r="G1106" s="69"/>
    </row>
    <row r="1107" spans="1:7" s="68" customFormat="1" ht="15.6" x14ac:dyDescent="0.3">
      <c r="A1107" s="63"/>
      <c r="B1107" s="64"/>
      <c r="C1107" s="65"/>
      <c r="D1107" s="66"/>
      <c r="E1107" s="67"/>
      <c r="G1107" s="69"/>
    </row>
    <row r="1108" spans="1:7" s="68" customFormat="1" ht="15.6" x14ac:dyDescent="0.3">
      <c r="A1108" s="63"/>
      <c r="B1108" s="64"/>
      <c r="C1108" s="65"/>
      <c r="D1108" s="66"/>
      <c r="E1108" s="67"/>
      <c r="G1108" s="69"/>
    </row>
    <row r="1109" spans="1:7" s="68" customFormat="1" ht="15.6" x14ac:dyDescent="0.3">
      <c r="A1109" s="63"/>
      <c r="B1109" s="64"/>
      <c r="C1109" s="65"/>
      <c r="D1109" s="66"/>
      <c r="E1109" s="67"/>
      <c r="G1109" s="69"/>
    </row>
    <row r="1110" spans="1:7" s="68" customFormat="1" ht="15.6" x14ac:dyDescent="0.3">
      <c r="A1110" s="63"/>
      <c r="B1110" s="64"/>
      <c r="C1110" s="65"/>
      <c r="D1110" s="66"/>
      <c r="E1110" s="67"/>
      <c r="G1110" s="69"/>
    </row>
    <row r="1111" spans="1:7" s="68" customFormat="1" ht="15.6" x14ac:dyDescent="0.3">
      <c r="A1111" s="63"/>
      <c r="B1111" s="64"/>
      <c r="C1111" s="65"/>
      <c r="D1111" s="66"/>
      <c r="E1111" s="67"/>
      <c r="G1111" s="69"/>
    </row>
    <row r="1112" spans="1:7" s="68" customFormat="1" ht="15.6" x14ac:dyDescent="0.3">
      <c r="A1112" s="63"/>
      <c r="B1112" s="64"/>
      <c r="C1112" s="65"/>
      <c r="D1112" s="66"/>
      <c r="E1112" s="67"/>
      <c r="G1112" s="69"/>
    </row>
    <row r="1113" spans="1:7" s="68" customFormat="1" ht="15.6" x14ac:dyDescent="0.3">
      <c r="A1113" s="63"/>
      <c r="B1113" s="64"/>
      <c r="C1113" s="65"/>
      <c r="D1113" s="66"/>
      <c r="E1113" s="67"/>
      <c r="G1113" s="69"/>
    </row>
    <row r="1114" spans="1:7" s="68" customFormat="1" ht="15.6" x14ac:dyDescent="0.3">
      <c r="A1114" s="63"/>
      <c r="B1114" s="64"/>
      <c r="C1114" s="65"/>
      <c r="D1114" s="66"/>
      <c r="E1114" s="67"/>
      <c r="G1114" s="69"/>
    </row>
    <row r="1115" spans="1:7" s="68" customFormat="1" ht="15.6" x14ac:dyDescent="0.3">
      <c r="A1115" s="63"/>
      <c r="B1115" s="64"/>
      <c r="C1115" s="65"/>
      <c r="D1115" s="66"/>
      <c r="E1115" s="67"/>
      <c r="G1115" s="69"/>
    </row>
    <row r="1116" spans="1:7" s="68" customFormat="1" ht="15.6" x14ac:dyDescent="0.3">
      <c r="A1116" s="63"/>
      <c r="B1116" s="64"/>
      <c r="C1116" s="65"/>
      <c r="D1116" s="66"/>
      <c r="E1116" s="67"/>
      <c r="G1116" s="69"/>
    </row>
    <row r="1117" spans="1:7" s="68" customFormat="1" ht="15.6" x14ac:dyDescent="0.3">
      <c r="A1117" s="63"/>
      <c r="B1117" s="64"/>
      <c r="C1117" s="65"/>
      <c r="D1117" s="66"/>
      <c r="E1117" s="67"/>
      <c r="G1117" s="69"/>
    </row>
    <row r="1118" spans="1:7" s="68" customFormat="1" ht="15.6" x14ac:dyDescent="0.3">
      <c r="A1118" s="63"/>
      <c r="B1118" s="64"/>
      <c r="C1118" s="65"/>
      <c r="D1118" s="66"/>
      <c r="E1118" s="67"/>
      <c r="G1118" s="69"/>
    </row>
    <row r="1119" spans="1:7" s="68" customFormat="1" ht="15.6" x14ac:dyDescent="0.3">
      <c r="A1119" s="63"/>
      <c r="B1119" s="64"/>
      <c r="C1119" s="65"/>
      <c r="D1119" s="66"/>
      <c r="E1119" s="67"/>
      <c r="G1119" s="69"/>
    </row>
    <row r="1120" spans="1:7" s="68" customFormat="1" ht="15.6" x14ac:dyDescent="0.3">
      <c r="A1120" s="63"/>
      <c r="B1120" s="64"/>
      <c r="C1120" s="65"/>
      <c r="D1120" s="66"/>
      <c r="E1120" s="67"/>
      <c r="G1120" s="69"/>
    </row>
    <row r="1121" spans="1:7" s="68" customFormat="1" ht="15.6" x14ac:dyDescent="0.3">
      <c r="A1121" s="63"/>
      <c r="B1121" s="64"/>
      <c r="C1121" s="65"/>
      <c r="D1121" s="66"/>
      <c r="E1121" s="67"/>
      <c r="G1121" s="69"/>
    </row>
    <row r="1122" spans="1:7" s="68" customFormat="1" ht="15.6" x14ac:dyDescent="0.3">
      <c r="A1122" s="63"/>
      <c r="B1122" s="64"/>
      <c r="C1122" s="65"/>
      <c r="D1122" s="66"/>
      <c r="E1122" s="67"/>
      <c r="G1122" s="69"/>
    </row>
    <row r="1123" spans="1:7" s="68" customFormat="1" ht="15.6" x14ac:dyDescent="0.3">
      <c r="A1123" s="63"/>
      <c r="B1123" s="64"/>
      <c r="C1123" s="65"/>
      <c r="D1123" s="66"/>
      <c r="E1123" s="67"/>
      <c r="G1123" s="69"/>
    </row>
    <row r="1124" spans="1:7" s="68" customFormat="1" ht="15.6" x14ac:dyDescent="0.3">
      <c r="A1124" s="63"/>
      <c r="B1124" s="64"/>
      <c r="C1124" s="65"/>
      <c r="D1124" s="66"/>
      <c r="E1124" s="67"/>
      <c r="G1124" s="69"/>
    </row>
    <row r="1125" spans="1:7" s="68" customFormat="1" ht="15.6" x14ac:dyDescent="0.3">
      <c r="A1125" s="63"/>
      <c r="B1125" s="64"/>
      <c r="C1125" s="65"/>
      <c r="D1125" s="66"/>
      <c r="E1125" s="67"/>
      <c r="G1125" s="69"/>
    </row>
    <row r="1126" spans="1:7" s="68" customFormat="1" ht="15.6" x14ac:dyDescent="0.3">
      <c r="A1126" s="63"/>
      <c r="B1126" s="64"/>
      <c r="C1126" s="65"/>
      <c r="D1126" s="66"/>
      <c r="E1126" s="67"/>
      <c r="G1126" s="69"/>
    </row>
    <row r="1127" spans="1:7" s="68" customFormat="1" ht="15.6" x14ac:dyDescent="0.3">
      <c r="A1127" s="63"/>
      <c r="B1127" s="64"/>
      <c r="C1127" s="65"/>
      <c r="D1127" s="66"/>
      <c r="E1127" s="67"/>
      <c r="G1127" s="69"/>
    </row>
    <row r="1128" spans="1:7" s="68" customFormat="1" ht="15.6" x14ac:dyDescent="0.3">
      <c r="A1128" s="63"/>
      <c r="B1128" s="64"/>
      <c r="C1128" s="65"/>
      <c r="D1128" s="66"/>
      <c r="E1128" s="67"/>
      <c r="G1128" s="69"/>
    </row>
    <row r="1129" spans="1:7" s="68" customFormat="1" ht="15.6" x14ac:dyDescent="0.3">
      <c r="A1129" s="63"/>
      <c r="B1129" s="64"/>
      <c r="C1129" s="65"/>
      <c r="D1129" s="66"/>
      <c r="E1129" s="67"/>
      <c r="G1129" s="69"/>
    </row>
    <row r="1130" spans="1:7" s="68" customFormat="1" ht="15.6" x14ac:dyDescent="0.3">
      <c r="A1130" s="63"/>
      <c r="B1130" s="64"/>
      <c r="C1130" s="65"/>
      <c r="D1130" s="66"/>
      <c r="E1130" s="67"/>
      <c r="G1130" s="69"/>
    </row>
    <row r="1131" spans="1:7" s="68" customFormat="1" ht="15.6" x14ac:dyDescent="0.3">
      <c r="A1131" s="63"/>
      <c r="B1131" s="64"/>
      <c r="C1131" s="65"/>
      <c r="D1131" s="66"/>
      <c r="E1131" s="67"/>
      <c r="G1131" s="69"/>
    </row>
    <row r="1132" spans="1:7" s="68" customFormat="1" ht="15.6" x14ac:dyDescent="0.3">
      <c r="A1132" s="63"/>
      <c r="B1132" s="64"/>
      <c r="C1132" s="65"/>
      <c r="D1132" s="66"/>
      <c r="E1132" s="67"/>
      <c r="G1132" s="69"/>
    </row>
    <row r="1133" spans="1:7" s="68" customFormat="1" ht="15.6" x14ac:dyDescent="0.3">
      <c r="A1133" s="63"/>
      <c r="B1133" s="64"/>
      <c r="C1133" s="65"/>
      <c r="D1133" s="66"/>
      <c r="E1133" s="67"/>
      <c r="G1133" s="69"/>
    </row>
    <row r="1134" spans="1:7" s="68" customFormat="1" ht="15.6" x14ac:dyDescent="0.3">
      <c r="A1134" s="63"/>
      <c r="B1134" s="64"/>
      <c r="C1134" s="65"/>
      <c r="D1134" s="66"/>
      <c r="E1134" s="67"/>
      <c r="G1134" s="69"/>
    </row>
    <row r="1135" spans="1:7" s="68" customFormat="1" ht="15.6" x14ac:dyDescent="0.3">
      <c r="A1135" s="63"/>
      <c r="B1135" s="64"/>
      <c r="C1135" s="65"/>
      <c r="D1135" s="66"/>
      <c r="E1135" s="67"/>
      <c r="G1135" s="69"/>
    </row>
    <row r="1136" spans="1:7" s="68" customFormat="1" ht="15.6" x14ac:dyDescent="0.3">
      <c r="A1136" s="63"/>
      <c r="B1136" s="64"/>
      <c r="C1136" s="65"/>
      <c r="D1136" s="66"/>
      <c r="E1136" s="67"/>
      <c r="G1136" s="69"/>
    </row>
    <row r="1137" spans="1:7" s="68" customFormat="1" ht="15.6" x14ac:dyDescent="0.3">
      <c r="A1137" s="63"/>
      <c r="B1137" s="64"/>
      <c r="C1137" s="65"/>
      <c r="D1137" s="66"/>
      <c r="E1137" s="67"/>
      <c r="G1137" s="69"/>
    </row>
    <row r="1138" spans="1:7" s="68" customFormat="1" ht="15.6" x14ac:dyDescent="0.3">
      <c r="A1138" s="63"/>
      <c r="B1138" s="64"/>
      <c r="C1138" s="65"/>
      <c r="D1138" s="66"/>
      <c r="E1138" s="67"/>
      <c r="G1138" s="69"/>
    </row>
    <row r="1139" spans="1:7" s="68" customFormat="1" ht="15.6" x14ac:dyDescent="0.3">
      <c r="A1139" s="63"/>
      <c r="B1139" s="64"/>
      <c r="C1139" s="65"/>
      <c r="D1139" s="66"/>
      <c r="E1139" s="67"/>
      <c r="G1139" s="69"/>
    </row>
    <row r="1140" spans="1:7" s="68" customFormat="1" ht="15.6" x14ac:dyDescent="0.3">
      <c r="A1140" s="63"/>
      <c r="B1140" s="64"/>
      <c r="C1140" s="65"/>
      <c r="D1140" s="66"/>
      <c r="E1140" s="67"/>
      <c r="G1140" s="69"/>
    </row>
    <row r="1141" spans="1:7" s="68" customFormat="1" ht="15.6" x14ac:dyDescent="0.3">
      <c r="A1141" s="63"/>
      <c r="B1141" s="64"/>
      <c r="C1141" s="65"/>
      <c r="D1141" s="66"/>
      <c r="E1141" s="67"/>
      <c r="G1141" s="69"/>
    </row>
    <row r="1142" spans="1:7" s="68" customFormat="1" ht="15.6" x14ac:dyDescent="0.3">
      <c r="A1142" s="63"/>
      <c r="B1142" s="64"/>
      <c r="C1142" s="65"/>
      <c r="D1142" s="66"/>
      <c r="E1142" s="67"/>
      <c r="G1142" s="69"/>
    </row>
    <row r="1143" spans="1:7" s="68" customFormat="1" ht="15.6" x14ac:dyDescent="0.3">
      <c r="A1143" s="63"/>
      <c r="B1143" s="64"/>
      <c r="C1143" s="65"/>
      <c r="D1143" s="66"/>
      <c r="E1143" s="67"/>
      <c r="G1143" s="69"/>
    </row>
    <row r="1144" spans="1:7" s="68" customFormat="1" ht="15.6" x14ac:dyDescent="0.3">
      <c r="A1144" s="63"/>
      <c r="B1144" s="64"/>
      <c r="C1144" s="65"/>
      <c r="D1144" s="66"/>
      <c r="E1144" s="67"/>
      <c r="G1144" s="69"/>
    </row>
    <row r="1145" spans="1:7" s="68" customFormat="1" ht="15.6" x14ac:dyDescent="0.3">
      <c r="A1145" s="63"/>
      <c r="B1145" s="64"/>
      <c r="C1145" s="65"/>
      <c r="D1145" s="66"/>
      <c r="E1145" s="67"/>
      <c r="G1145" s="69"/>
    </row>
    <row r="1146" spans="1:7" s="68" customFormat="1" ht="15.6" x14ac:dyDescent="0.3">
      <c r="A1146" s="63"/>
      <c r="B1146" s="64"/>
      <c r="C1146" s="65"/>
      <c r="D1146" s="66"/>
      <c r="E1146" s="67"/>
      <c r="G1146" s="69"/>
    </row>
    <row r="1147" spans="1:7" s="68" customFormat="1" ht="15.6" x14ac:dyDescent="0.3">
      <c r="A1147" s="63"/>
      <c r="B1147" s="64"/>
      <c r="C1147" s="65"/>
      <c r="D1147" s="66"/>
      <c r="E1147" s="67"/>
      <c r="G1147" s="69"/>
    </row>
    <row r="1148" spans="1:7" s="68" customFormat="1" ht="15.6" x14ac:dyDescent="0.3">
      <c r="A1148" s="63"/>
      <c r="B1148" s="64"/>
      <c r="C1148" s="65"/>
      <c r="D1148" s="66"/>
      <c r="E1148" s="67"/>
      <c r="G1148" s="69"/>
    </row>
    <row r="1149" spans="1:7" s="68" customFormat="1" ht="15.6" x14ac:dyDescent="0.3">
      <c r="A1149" s="63"/>
      <c r="B1149" s="64"/>
      <c r="C1149" s="65"/>
      <c r="D1149" s="66"/>
      <c r="E1149" s="67"/>
      <c r="G1149" s="69"/>
    </row>
    <row r="1150" spans="1:7" s="68" customFormat="1" ht="15.6" x14ac:dyDescent="0.3">
      <c r="A1150" s="63"/>
      <c r="B1150" s="64"/>
      <c r="C1150" s="65"/>
      <c r="D1150" s="66"/>
      <c r="E1150" s="67"/>
      <c r="G1150" s="69"/>
    </row>
    <row r="1151" spans="1:7" s="68" customFormat="1" ht="15.6" x14ac:dyDescent="0.3">
      <c r="A1151" s="63"/>
      <c r="B1151" s="64"/>
      <c r="C1151" s="65"/>
      <c r="D1151" s="66"/>
      <c r="E1151" s="67"/>
      <c r="G1151" s="69"/>
    </row>
    <row r="1152" spans="1:7" s="68" customFormat="1" ht="15.6" x14ac:dyDescent="0.3">
      <c r="A1152" s="63"/>
      <c r="B1152" s="64"/>
      <c r="C1152" s="65"/>
      <c r="D1152" s="66"/>
      <c r="E1152" s="67"/>
      <c r="G1152" s="69"/>
    </row>
    <row r="1153" spans="1:7" s="68" customFormat="1" ht="15.6" x14ac:dyDescent="0.3">
      <c r="A1153" s="63"/>
      <c r="B1153" s="64"/>
      <c r="C1153" s="65"/>
      <c r="D1153" s="66"/>
      <c r="E1153" s="67"/>
      <c r="G1153" s="69"/>
    </row>
    <row r="1154" spans="1:7" s="68" customFormat="1" ht="15.6" x14ac:dyDescent="0.3">
      <c r="A1154" s="63"/>
      <c r="B1154" s="64"/>
      <c r="C1154" s="65"/>
      <c r="D1154" s="66"/>
      <c r="E1154" s="67"/>
      <c r="G1154" s="69"/>
    </row>
    <row r="1155" spans="1:7" s="68" customFormat="1" ht="15.6" x14ac:dyDescent="0.3">
      <c r="A1155" s="63"/>
      <c r="B1155" s="64"/>
      <c r="C1155" s="65"/>
      <c r="D1155" s="66"/>
      <c r="E1155" s="67"/>
      <c r="G1155" s="69"/>
    </row>
    <row r="1156" spans="1:7" s="68" customFormat="1" ht="15.6" x14ac:dyDescent="0.3">
      <c r="A1156" s="63"/>
      <c r="B1156" s="64"/>
      <c r="C1156" s="65"/>
      <c r="D1156" s="66"/>
      <c r="E1156" s="67"/>
      <c r="G1156" s="69"/>
    </row>
    <row r="1157" spans="1:7" s="68" customFormat="1" ht="15.6" x14ac:dyDescent="0.3">
      <c r="A1157" s="63"/>
      <c r="B1157" s="64"/>
      <c r="C1157" s="65"/>
      <c r="D1157" s="66"/>
      <c r="E1157" s="67"/>
      <c r="G1157" s="69"/>
    </row>
    <row r="1158" spans="1:7" s="68" customFormat="1" ht="15.6" x14ac:dyDescent="0.3">
      <c r="A1158" s="63"/>
      <c r="B1158" s="64"/>
      <c r="C1158" s="65"/>
      <c r="D1158" s="66"/>
      <c r="E1158" s="67"/>
      <c r="G1158" s="69"/>
    </row>
    <row r="1159" spans="1:7" s="68" customFormat="1" ht="15.6" x14ac:dyDescent="0.3">
      <c r="A1159" s="63"/>
      <c r="B1159" s="64"/>
      <c r="C1159" s="65"/>
      <c r="D1159" s="66"/>
      <c r="E1159" s="67"/>
      <c r="G1159" s="69"/>
    </row>
    <row r="1160" spans="1:7" s="68" customFormat="1" ht="15.6" x14ac:dyDescent="0.3">
      <c r="A1160" s="63"/>
      <c r="B1160" s="64"/>
      <c r="C1160" s="65"/>
      <c r="D1160" s="66"/>
      <c r="E1160" s="67"/>
      <c r="G1160" s="69"/>
    </row>
    <row r="1161" spans="1:7" s="68" customFormat="1" ht="15.6" x14ac:dyDescent="0.3">
      <c r="A1161" s="63"/>
      <c r="B1161" s="64"/>
      <c r="C1161" s="65"/>
      <c r="D1161" s="66"/>
      <c r="E1161" s="67"/>
      <c r="G1161" s="69"/>
    </row>
    <row r="1162" spans="1:7" s="68" customFormat="1" ht="15.6" x14ac:dyDescent="0.3">
      <c r="A1162" s="63"/>
      <c r="B1162" s="64"/>
      <c r="C1162" s="65"/>
      <c r="D1162" s="66"/>
      <c r="E1162" s="67"/>
      <c r="G1162" s="69"/>
    </row>
    <row r="1163" spans="1:7" s="68" customFormat="1" ht="15.6" x14ac:dyDescent="0.3">
      <c r="A1163" s="63"/>
      <c r="B1163" s="64"/>
      <c r="C1163" s="65"/>
      <c r="D1163" s="66"/>
      <c r="E1163" s="67"/>
      <c r="G1163" s="69"/>
    </row>
    <row r="1164" spans="1:7" s="68" customFormat="1" ht="15.6" x14ac:dyDescent="0.3">
      <c r="A1164" s="63"/>
      <c r="B1164" s="64"/>
      <c r="C1164" s="65"/>
      <c r="D1164" s="66"/>
      <c r="E1164" s="67"/>
      <c r="G1164" s="69"/>
    </row>
    <row r="1165" spans="1:7" s="68" customFormat="1" ht="15.6" x14ac:dyDescent="0.3">
      <c r="A1165" s="63"/>
      <c r="B1165" s="64"/>
      <c r="C1165" s="65"/>
      <c r="D1165" s="66"/>
      <c r="E1165" s="67"/>
      <c r="G1165" s="69"/>
    </row>
    <row r="1166" spans="1:7" s="68" customFormat="1" ht="15.6" x14ac:dyDescent="0.3">
      <c r="A1166" s="63"/>
      <c r="B1166" s="64"/>
      <c r="C1166" s="65"/>
      <c r="D1166" s="66"/>
      <c r="E1166" s="67"/>
      <c r="G1166" s="69"/>
    </row>
    <row r="1167" spans="1:7" s="68" customFormat="1" ht="15.6" x14ac:dyDescent="0.3">
      <c r="A1167" s="63"/>
      <c r="B1167" s="64"/>
      <c r="C1167" s="65"/>
      <c r="D1167" s="66"/>
      <c r="E1167" s="67"/>
      <c r="G1167" s="69"/>
    </row>
    <row r="1168" spans="1:7" s="68" customFormat="1" ht="15.6" x14ac:dyDescent="0.3">
      <c r="A1168" s="63"/>
      <c r="B1168" s="64"/>
      <c r="C1168" s="65"/>
      <c r="D1168" s="66"/>
      <c r="E1168" s="67"/>
      <c r="G1168" s="69"/>
    </row>
    <row r="1169" spans="1:7" s="68" customFormat="1" ht="15.6" x14ac:dyDescent="0.3">
      <c r="A1169" s="63"/>
      <c r="B1169" s="64"/>
      <c r="C1169" s="65"/>
      <c r="D1169" s="66"/>
      <c r="E1169" s="67"/>
      <c r="G1169" s="69"/>
    </row>
    <row r="1170" spans="1:7" s="68" customFormat="1" ht="15.6" x14ac:dyDescent="0.3">
      <c r="A1170" s="63"/>
      <c r="B1170" s="64"/>
      <c r="C1170" s="65"/>
      <c r="D1170" s="66"/>
      <c r="E1170" s="67"/>
      <c r="G1170" s="69"/>
    </row>
    <row r="1171" spans="1:7" s="68" customFormat="1" ht="15.6" x14ac:dyDescent="0.3">
      <c r="A1171" s="63"/>
      <c r="B1171" s="64"/>
      <c r="C1171" s="65"/>
      <c r="D1171" s="66"/>
      <c r="E1171" s="67"/>
      <c r="G1171" s="69"/>
    </row>
    <row r="1172" spans="1:7" s="68" customFormat="1" ht="15.6" x14ac:dyDescent="0.3">
      <c r="A1172" s="63"/>
      <c r="B1172" s="64"/>
      <c r="C1172" s="65"/>
      <c r="D1172" s="66"/>
      <c r="E1172" s="67"/>
      <c r="G1172" s="69"/>
    </row>
    <row r="1173" spans="1:7" s="68" customFormat="1" ht="15.6" x14ac:dyDescent="0.3">
      <c r="A1173" s="63"/>
      <c r="B1173" s="64"/>
      <c r="C1173" s="65"/>
      <c r="D1173" s="66"/>
      <c r="E1173" s="67"/>
      <c r="G1173" s="69"/>
    </row>
    <row r="1174" spans="1:7" s="68" customFormat="1" ht="15.6" x14ac:dyDescent="0.3">
      <c r="A1174" s="63"/>
      <c r="B1174" s="64"/>
      <c r="C1174" s="65"/>
      <c r="D1174" s="66"/>
      <c r="E1174" s="67"/>
      <c r="G1174" s="69"/>
    </row>
    <row r="1175" spans="1:7" s="68" customFormat="1" ht="15.6" x14ac:dyDescent="0.3">
      <c r="A1175" s="63"/>
      <c r="B1175" s="64"/>
      <c r="C1175" s="65"/>
      <c r="D1175" s="66"/>
      <c r="E1175" s="67"/>
      <c r="G1175" s="69"/>
    </row>
    <row r="1176" spans="1:7" s="68" customFormat="1" ht="15.6" x14ac:dyDescent="0.3">
      <c r="A1176" s="63"/>
      <c r="B1176" s="64"/>
      <c r="C1176" s="65"/>
      <c r="D1176" s="66"/>
      <c r="E1176" s="67"/>
      <c r="G1176" s="69"/>
    </row>
    <row r="1177" spans="1:7" s="68" customFormat="1" ht="15.6" x14ac:dyDescent="0.3">
      <c r="A1177" s="63"/>
      <c r="B1177" s="64"/>
      <c r="C1177" s="65"/>
      <c r="D1177" s="66"/>
      <c r="E1177" s="67"/>
      <c r="G1177" s="69"/>
    </row>
    <row r="1178" spans="1:7" s="68" customFormat="1" ht="15.6" x14ac:dyDescent="0.3">
      <c r="A1178" s="63"/>
      <c r="B1178" s="64"/>
      <c r="C1178" s="65"/>
      <c r="D1178" s="66"/>
      <c r="E1178" s="67"/>
      <c r="G1178" s="69"/>
    </row>
    <row r="1179" spans="1:7" s="68" customFormat="1" ht="15.6" x14ac:dyDescent="0.3">
      <c r="A1179" s="63"/>
      <c r="B1179" s="64"/>
      <c r="C1179" s="65"/>
      <c r="D1179" s="66"/>
      <c r="E1179" s="67"/>
      <c r="G1179" s="69"/>
    </row>
    <row r="1180" spans="1:7" s="68" customFormat="1" ht="15.6" x14ac:dyDescent="0.3">
      <c r="A1180" s="63"/>
      <c r="B1180" s="64"/>
      <c r="C1180" s="65"/>
      <c r="D1180" s="66"/>
      <c r="E1180" s="67"/>
      <c r="G1180" s="69"/>
    </row>
    <row r="1181" spans="1:7" s="68" customFormat="1" ht="15.6" x14ac:dyDescent="0.3">
      <c r="A1181" s="63"/>
      <c r="B1181" s="64"/>
      <c r="C1181" s="65"/>
      <c r="D1181" s="66"/>
      <c r="E1181" s="67"/>
      <c r="G1181" s="69"/>
    </row>
    <row r="1182" spans="1:7" s="68" customFormat="1" ht="15.6" x14ac:dyDescent="0.3">
      <c r="A1182" s="63"/>
      <c r="B1182" s="64"/>
      <c r="C1182" s="65"/>
      <c r="D1182" s="66"/>
      <c r="E1182" s="67"/>
      <c r="G1182" s="69"/>
    </row>
    <row r="1183" spans="1:7" s="68" customFormat="1" ht="15.6" x14ac:dyDescent="0.3">
      <c r="A1183" s="63"/>
      <c r="B1183" s="64"/>
      <c r="C1183" s="65"/>
      <c r="D1183" s="66"/>
      <c r="E1183" s="67"/>
      <c r="G1183" s="69"/>
    </row>
    <row r="1184" spans="1:7" s="68" customFormat="1" ht="15.6" x14ac:dyDescent="0.3">
      <c r="A1184" s="63"/>
      <c r="B1184" s="64"/>
      <c r="C1184" s="65"/>
      <c r="D1184" s="66"/>
      <c r="E1184" s="67"/>
      <c r="G1184" s="69"/>
    </row>
    <row r="1185" spans="1:7" s="68" customFormat="1" ht="15.6" x14ac:dyDescent="0.3">
      <c r="A1185" s="63"/>
      <c r="B1185" s="64"/>
      <c r="C1185" s="65"/>
      <c r="D1185" s="66"/>
      <c r="E1185" s="67"/>
      <c r="G1185" s="69"/>
    </row>
    <row r="1186" spans="1:7" s="68" customFormat="1" ht="15.6" x14ac:dyDescent="0.3">
      <c r="A1186" s="63"/>
      <c r="B1186" s="64"/>
      <c r="C1186" s="65"/>
      <c r="D1186" s="66"/>
      <c r="E1186" s="67"/>
      <c r="G1186" s="69"/>
    </row>
    <row r="1187" spans="1:7" s="68" customFormat="1" ht="15.6" x14ac:dyDescent="0.3">
      <c r="A1187" s="63"/>
      <c r="B1187" s="64"/>
      <c r="C1187" s="65"/>
      <c r="D1187" s="66"/>
      <c r="E1187" s="67"/>
      <c r="G1187" s="69"/>
    </row>
    <row r="1188" spans="1:7" s="68" customFormat="1" ht="15.6" x14ac:dyDescent="0.3">
      <c r="A1188" s="63"/>
      <c r="B1188" s="64"/>
      <c r="C1188" s="65"/>
      <c r="D1188" s="66"/>
      <c r="E1188" s="67"/>
      <c r="G1188" s="69"/>
    </row>
    <row r="1189" spans="1:7" s="68" customFormat="1" ht="15.6" x14ac:dyDescent="0.3">
      <c r="A1189" s="63"/>
      <c r="B1189" s="64"/>
      <c r="C1189" s="65"/>
      <c r="D1189" s="66"/>
      <c r="E1189" s="67"/>
      <c r="G1189" s="69"/>
    </row>
    <row r="1190" spans="1:7" s="68" customFormat="1" ht="15.6" x14ac:dyDescent="0.3">
      <c r="A1190" s="63"/>
      <c r="B1190" s="64"/>
      <c r="C1190" s="65"/>
      <c r="D1190" s="66"/>
      <c r="E1190" s="67"/>
      <c r="G1190" s="69"/>
    </row>
    <row r="1191" spans="1:7" s="68" customFormat="1" ht="15.6" x14ac:dyDescent="0.3">
      <c r="A1191" s="63"/>
      <c r="B1191" s="64"/>
      <c r="C1191" s="65"/>
      <c r="D1191" s="66"/>
      <c r="E1191" s="67"/>
      <c r="G1191" s="69"/>
    </row>
    <row r="1192" spans="1:7" s="68" customFormat="1" ht="15.6" x14ac:dyDescent="0.3">
      <c r="A1192" s="63"/>
      <c r="B1192" s="64"/>
      <c r="C1192" s="65"/>
      <c r="D1192" s="66"/>
      <c r="E1192" s="67"/>
      <c r="G1192" s="69"/>
    </row>
    <row r="1193" spans="1:7" s="68" customFormat="1" ht="15.6" x14ac:dyDescent="0.3">
      <c r="A1193" s="63"/>
      <c r="B1193" s="64"/>
      <c r="C1193" s="65"/>
      <c r="D1193" s="66"/>
      <c r="E1193" s="67"/>
      <c r="G1193" s="69"/>
    </row>
    <row r="1194" spans="1:7" s="68" customFormat="1" ht="15.6" x14ac:dyDescent="0.3">
      <c r="A1194" s="63"/>
      <c r="B1194" s="64"/>
      <c r="C1194" s="65"/>
      <c r="D1194" s="66"/>
      <c r="E1194" s="67"/>
      <c r="G1194" s="69"/>
    </row>
    <row r="1195" spans="1:7" s="68" customFormat="1" ht="15.6" x14ac:dyDescent="0.3">
      <c r="A1195" s="63"/>
      <c r="B1195" s="64"/>
      <c r="C1195" s="65"/>
      <c r="D1195" s="66"/>
      <c r="E1195" s="67"/>
      <c r="G1195" s="69"/>
    </row>
    <row r="1196" spans="1:7" s="68" customFormat="1" ht="15.6" x14ac:dyDescent="0.3">
      <c r="A1196" s="63"/>
      <c r="B1196" s="64"/>
      <c r="C1196" s="65"/>
      <c r="D1196" s="66"/>
      <c r="E1196" s="67"/>
      <c r="G1196" s="69"/>
    </row>
    <row r="1197" spans="1:7" s="68" customFormat="1" ht="15.6" x14ac:dyDescent="0.3">
      <c r="A1197" s="63"/>
      <c r="B1197" s="64"/>
      <c r="C1197" s="65"/>
      <c r="D1197" s="66"/>
      <c r="E1197" s="67"/>
      <c r="G1197" s="69"/>
    </row>
    <row r="1198" spans="1:7" s="68" customFormat="1" ht="15.6" x14ac:dyDescent="0.3">
      <c r="A1198" s="63"/>
      <c r="B1198" s="64"/>
      <c r="C1198" s="65"/>
      <c r="D1198" s="66"/>
      <c r="E1198" s="67"/>
      <c r="G1198" s="69"/>
    </row>
    <row r="1199" spans="1:7" s="68" customFormat="1" ht="15.6" x14ac:dyDescent="0.3">
      <c r="A1199" s="63"/>
      <c r="B1199" s="64"/>
      <c r="C1199" s="65"/>
      <c r="D1199" s="66"/>
      <c r="E1199" s="67"/>
      <c r="G1199" s="69"/>
    </row>
    <row r="1200" spans="1:7" s="68" customFormat="1" ht="15.6" x14ac:dyDescent="0.3">
      <c r="A1200" s="63"/>
      <c r="B1200" s="64"/>
      <c r="C1200" s="65"/>
      <c r="D1200" s="66"/>
      <c r="E1200" s="67"/>
      <c r="G1200" s="69"/>
    </row>
    <row r="1201" spans="1:7" s="68" customFormat="1" ht="15.6" x14ac:dyDescent="0.3">
      <c r="A1201" s="63"/>
      <c r="B1201" s="64"/>
      <c r="C1201" s="65"/>
      <c r="D1201" s="66"/>
      <c r="E1201" s="67"/>
      <c r="G1201" s="69"/>
    </row>
    <row r="1202" spans="1:7" s="68" customFormat="1" ht="15.6" x14ac:dyDescent="0.3">
      <c r="A1202" s="63"/>
      <c r="B1202" s="64"/>
      <c r="C1202" s="65"/>
      <c r="D1202" s="66"/>
      <c r="E1202" s="67"/>
      <c r="G1202" s="69"/>
    </row>
    <row r="1203" spans="1:7" s="68" customFormat="1" ht="15.6" x14ac:dyDescent="0.3">
      <c r="A1203" s="63"/>
      <c r="B1203" s="64"/>
      <c r="C1203" s="65"/>
      <c r="D1203" s="66"/>
      <c r="E1203" s="67"/>
      <c r="G1203" s="69"/>
    </row>
    <row r="1204" spans="1:7" s="68" customFormat="1" ht="15.6" x14ac:dyDescent="0.3">
      <c r="A1204" s="63"/>
      <c r="B1204" s="64"/>
      <c r="C1204" s="65"/>
      <c r="D1204" s="66"/>
      <c r="E1204" s="67"/>
      <c r="G1204" s="69"/>
    </row>
    <row r="1205" spans="1:7" s="68" customFormat="1" ht="15.6" x14ac:dyDescent="0.3">
      <c r="A1205" s="63"/>
      <c r="B1205" s="64"/>
      <c r="C1205" s="65"/>
      <c r="D1205" s="66"/>
      <c r="E1205" s="67"/>
      <c r="G1205" s="69"/>
    </row>
    <row r="1206" spans="1:7" s="68" customFormat="1" ht="15.6" x14ac:dyDescent="0.3">
      <c r="A1206" s="63"/>
      <c r="B1206" s="64"/>
      <c r="C1206" s="65"/>
      <c r="D1206" s="66"/>
      <c r="E1206" s="67"/>
      <c r="G1206" s="69"/>
    </row>
    <row r="1207" spans="1:7" s="68" customFormat="1" ht="15.6" x14ac:dyDescent="0.3">
      <c r="A1207" s="63"/>
      <c r="B1207" s="64"/>
      <c r="C1207" s="65"/>
      <c r="D1207" s="66"/>
      <c r="E1207" s="67"/>
      <c r="G1207" s="69"/>
    </row>
    <row r="1208" spans="1:7" s="68" customFormat="1" ht="15.6" x14ac:dyDescent="0.3">
      <c r="A1208" s="63"/>
      <c r="B1208" s="64"/>
      <c r="C1208" s="65"/>
      <c r="D1208" s="66"/>
      <c r="E1208" s="67"/>
      <c r="G1208" s="69"/>
    </row>
    <row r="1209" spans="1:7" s="68" customFormat="1" ht="15.6" x14ac:dyDescent="0.3">
      <c r="A1209" s="63"/>
      <c r="B1209" s="64"/>
      <c r="C1209" s="65"/>
      <c r="D1209" s="66"/>
      <c r="E1209" s="67"/>
      <c r="G1209" s="69"/>
    </row>
    <row r="1210" spans="1:7" s="68" customFormat="1" ht="15.6" x14ac:dyDescent="0.3">
      <c r="A1210" s="63"/>
      <c r="B1210" s="64"/>
      <c r="C1210" s="65"/>
      <c r="D1210" s="66"/>
      <c r="E1210" s="67"/>
      <c r="G1210" s="69"/>
    </row>
    <row r="1211" spans="1:7" s="68" customFormat="1" ht="15.6" x14ac:dyDescent="0.3">
      <c r="A1211" s="63"/>
      <c r="B1211" s="64"/>
      <c r="C1211" s="65"/>
      <c r="D1211" s="66"/>
      <c r="E1211" s="67"/>
      <c r="G1211" s="69"/>
    </row>
    <row r="1212" spans="1:7" s="68" customFormat="1" ht="15.6" x14ac:dyDescent="0.3">
      <c r="A1212" s="63"/>
      <c r="B1212" s="64"/>
      <c r="C1212" s="65"/>
      <c r="D1212" s="66"/>
      <c r="E1212" s="67"/>
      <c r="G1212" s="69"/>
    </row>
    <row r="1213" spans="1:7" s="68" customFormat="1" ht="15.6" x14ac:dyDescent="0.3">
      <c r="A1213" s="63"/>
      <c r="B1213" s="64"/>
      <c r="C1213" s="65"/>
      <c r="D1213" s="66"/>
      <c r="E1213" s="67"/>
      <c r="G1213" s="69"/>
    </row>
    <row r="1214" spans="1:7" s="68" customFormat="1" ht="15.6" x14ac:dyDescent="0.3">
      <c r="A1214" s="63"/>
      <c r="B1214" s="64"/>
      <c r="C1214" s="65"/>
      <c r="D1214" s="66"/>
      <c r="E1214" s="67"/>
      <c r="G1214" s="69"/>
    </row>
    <row r="1215" spans="1:7" s="68" customFormat="1" ht="15.6" x14ac:dyDescent="0.3">
      <c r="A1215" s="63"/>
      <c r="B1215" s="64"/>
      <c r="C1215" s="65"/>
      <c r="D1215" s="66"/>
      <c r="E1215" s="67"/>
      <c r="G1215" s="69"/>
    </row>
    <row r="1216" spans="1:7" s="68" customFormat="1" ht="15.6" x14ac:dyDescent="0.3">
      <c r="A1216" s="63"/>
      <c r="B1216" s="64"/>
      <c r="C1216" s="65"/>
      <c r="D1216" s="66"/>
      <c r="E1216" s="67"/>
      <c r="G1216" s="69"/>
    </row>
    <row r="1217" spans="1:7" s="68" customFormat="1" ht="15.6" x14ac:dyDescent="0.3">
      <c r="A1217" s="63"/>
      <c r="B1217" s="64"/>
      <c r="C1217" s="65"/>
      <c r="D1217" s="66"/>
      <c r="E1217" s="67"/>
      <c r="G1217" s="69"/>
    </row>
    <row r="1218" spans="1:7" s="68" customFormat="1" ht="15.6" x14ac:dyDescent="0.3">
      <c r="A1218" s="63"/>
      <c r="B1218" s="64"/>
      <c r="C1218" s="65"/>
      <c r="D1218" s="66"/>
      <c r="E1218" s="67"/>
      <c r="G1218" s="69"/>
    </row>
    <row r="1219" spans="1:7" s="68" customFormat="1" ht="15.6" x14ac:dyDescent="0.3">
      <c r="A1219" s="63"/>
      <c r="B1219" s="64"/>
      <c r="C1219" s="65"/>
      <c r="D1219" s="66"/>
      <c r="E1219" s="67"/>
      <c r="G1219" s="69"/>
    </row>
    <row r="1220" spans="1:7" s="68" customFormat="1" ht="15.6" x14ac:dyDescent="0.3">
      <c r="A1220" s="63"/>
      <c r="B1220" s="64"/>
      <c r="C1220" s="65"/>
      <c r="D1220" s="66"/>
      <c r="E1220" s="67"/>
      <c r="G1220" s="69"/>
    </row>
    <row r="1221" spans="1:7" s="68" customFormat="1" ht="15.6" x14ac:dyDescent="0.3">
      <c r="A1221" s="63"/>
      <c r="B1221" s="64"/>
      <c r="C1221" s="65"/>
      <c r="D1221" s="66"/>
      <c r="E1221" s="67"/>
      <c r="G1221" s="69"/>
    </row>
    <row r="1222" spans="1:7" s="68" customFormat="1" ht="15.6" x14ac:dyDescent="0.3">
      <c r="A1222" s="63"/>
      <c r="B1222" s="64"/>
      <c r="C1222" s="65"/>
      <c r="D1222" s="66"/>
      <c r="E1222" s="67"/>
      <c r="G1222" s="69"/>
    </row>
    <row r="1223" spans="1:7" s="68" customFormat="1" ht="15.6" x14ac:dyDescent="0.3">
      <c r="A1223" s="63"/>
      <c r="B1223" s="64"/>
      <c r="C1223" s="65"/>
      <c r="D1223" s="66"/>
      <c r="E1223" s="67"/>
      <c r="G1223" s="69"/>
    </row>
    <row r="1224" spans="1:7" s="68" customFormat="1" ht="15.6" x14ac:dyDescent="0.3">
      <c r="A1224" s="63"/>
      <c r="B1224" s="64"/>
      <c r="C1224" s="65"/>
      <c r="D1224" s="66"/>
      <c r="E1224" s="67"/>
      <c r="G1224" s="69"/>
    </row>
    <row r="1225" spans="1:7" s="68" customFormat="1" ht="15.6" x14ac:dyDescent="0.3">
      <c r="A1225" s="63"/>
      <c r="B1225" s="64"/>
      <c r="C1225" s="65"/>
      <c r="D1225" s="66"/>
      <c r="E1225" s="67"/>
      <c r="G1225" s="69"/>
    </row>
    <row r="1226" spans="1:7" s="68" customFormat="1" ht="15.6" x14ac:dyDescent="0.3">
      <c r="A1226" s="63"/>
      <c r="B1226" s="64"/>
      <c r="C1226" s="65"/>
      <c r="D1226" s="66"/>
      <c r="E1226" s="67"/>
      <c r="G1226" s="69"/>
    </row>
    <row r="1227" spans="1:7" s="68" customFormat="1" ht="15.6" x14ac:dyDescent="0.3">
      <c r="A1227" s="63"/>
      <c r="B1227" s="64"/>
      <c r="C1227" s="65"/>
      <c r="D1227" s="66"/>
      <c r="E1227" s="67"/>
      <c r="G1227" s="69"/>
    </row>
    <row r="1228" spans="1:7" s="68" customFormat="1" ht="15.6" x14ac:dyDescent="0.3">
      <c r="A1228" s="63"/>
      <c r="B1228" s="64"/>
      <c r="C1228" s="65"/>
      <c r="D1228" s="66"/>
      <c r="E1228" s="67"/>
      <c r="G1228" s="69"/>
    </row>
    <row r="1229" spans="1:7" s="68" customFormat="1" ht="15.6" x14ac:dyDescent="0.3">
      <c r="A1229" s="63"/>
      <c r="B1229" s="64"/>
      <c r="C1229" s="65"/>
      <c r="D1229" s="66"/>
      <c r="E1229" s="67"/>
      <c r="G1229" s="69"/>
    </row>
    <row r="1230" spans="1:7" s="68" customFormat="1" ht="15.6" x14ac:dyDescent="0.3">
      <c r="A1230" s="63"/>
      <c r="B1230" s="64"/>
      <c r="C1230" s="65"/>
      <c r="D1230" s="66"/>
      <c r="E1230" s="67"/>
      <c r="G1230" s="69"/>
    </row>
    <row r="1231" spans="1:7" s="68" customFormat="1" ht="15.6" x14ac:dyDescent="0.3">
      <c r="A1231" s="63"/>
      <c r="B1231" s="64"/>
      <c r="C1231" s="65"/>
      <c r="D1231" s="66"/>
      <c r="E1231" s="67"/>
      <c r="G1231" s="69"/>
    </row>
    <row r="1232" spans="1:7" s="68" customFormat="1" ht="15.6" x14ac:dyDescent="0.3">
      <c r="A1232" s="63"/>
      <c r="B1232" s="64"/>
      <c r="C1232" s="65"/>
      <c r="D1232" s="66"/>
      <c r="E1232" s="67"/>
      <c r="G1232" s="69"/>
    </row>
    <row r="1233" spans="1:7" s="68" customFormat="1" ht="15.6" x14ac:dyDescent="0.3">
      <c r="A1233" s="63"/>
      <c r="B1233" s="64"/>
      <c r="C1233" s="65"/>
      <c r="D1233" s="66"/>
      <c r="E1233" s="67"/>
      <c r="G1233" s="69"/>
    </row>
    <row r="1234" spans="1:7" s="68" customFormat="1" ht="15.6" x14ac:dyDescent="0.3">
      <c r="A1234" s="63"/>
      <c r="B1234" s="64"/>
      <c r="C1234" s="65"/>
      <c r="D1234" s="66"/>
      <c r="E1234" s="67"/>
      <c r="G1234" s="69"/>
    </row>
    <row r="1235" spans="1:7" s="68" customFormat="1" ht="15.6" x14ac:dyDescent="0.3">
      <c r="A1235" s="63"/>
      <c r="B1235" s="64"/>
      <c r="C1235" s="65"/>
      <c r="D1235" s="66"/>
      <c r="E1235" s="67"/>
      <c r="G1235" s="69"/>
    </row>
    <row r="1236" spans="1:7" s="68" customFormat="1" ht="15.6" x14ac:dyDescent="0.3">
      <c r="A1236" s="63"/>
      <c r="B1236" s="64"/>
      <c r="C1236" s="65"/>
      <c r="D1236" s="66"/>
      <c r="E1236" s="67"/>
      <c r="G1236" s="69"/>
    </row>
    <row r="1237" spans="1:7" s="68" customFormat="1" ht="15.6" x14ac:dyDescent="0.3">
      <c r="A1237" s="63"/>
      <c r="B1237" s="64"/>
      <c r="C1237" s="65"/>
      <c r="D1237" s="66"/>
      <c r="E1237" s="67"/>
      <c r="G1237" s="69"/>
    </row>
    <row r="1238" spans="1:7" s="68" customFormat="1" ht="15.6" x14ac:dyDescent="0.3">
      <c r="A1238" s="63"/>
      <c r="B1238" s="64"/>
      <c r="C1238" s="65"/>
      <c r="D1238" s="66"/>
      <c r="E1238" s="67"/>
      <c r="G1238" s="69"/>
    </row>
    <row r="1239" spans="1:7" s="68" customFormat="1" ht="15.6" x14ac:dyDescent="0.3">
      <c r="A1239" s="63"/>
      <c r="B1239" s="64"/>
      <c r="C1239" s="65"/>
      <c r="D1239" s="66"/>
      <c r="E1239" s="67"/>
      <c r="G1239" s="69"/>
    </row>
    <row r="1240" spans="1:7" s="68" customFormat="1" ht="15.6" x14ac:dyDescent="0.3">
      <c r="A1240" s="63"/>
      <c r="B1240" s="64"/>
      <c r="C1240" s="65"/>
      <c r="D1240" s="66"/>
      <c r="E1240" s="67"/>
      <c r="G1240" s="69"/>
    </row>
    <row r="1241" spans="1:7" s="68" customFormat="1" ht="15.6" x14ac:dyDescent="0.3">
      <c r="A1241" s="63"/>
      <c r="B1241" s="64"/>
      <c r="C1241" s="65"/>
      <c r="D1241" s="66"/>
      <c r="E1241" s="67"/>
      <c r="G1241" s="69"/>
    </row>
    <row r="1242" spans="1:7" s="68" customFormat="1" ht="15.6" x14ac:dyDescent="0.3">
      <c r="A1242" s="63"/>
      <c r="B1242" s="64"/>
      <c r="C1242" s="65"/>
      <c r="D1242" s="66"/>
      <c r="E1242" s="67"/>
      <c r="G1242" s="69"/>
    </row>
    <row r="1243" spans="1:7" s="68" customFormat="1" ht="15.6" x14ac:dyDescent="0.3">
      <c r="A1243" s="63"/>
      <c r="B1243" s="64"/>
      <c r="C1243" s="65"/>
      <c r="D1243" s="66"/>
      <c r="E1243" s="67"/>
      <c r="G1243" s="69"/>
    </row>
    <row r="1244" spans="1:7" s="68" customFormat="1" ht="15.6" x14ac:dyDescent="0.3">
      <c r="A1244" s="63"/>
      <c r="B1244" s="64"/>
      <c r="C1244" s="65"/>
      <c r="D1244" s="66"/>
      <c r="E1244" s="67"/>
      <c r="G1244" s="69"/>
    </row>
    <row r="1245" spans="1:7" s="68" customFormat="1" ht="15.6" x14ac:dyDescent="0.3">
      <c r="A1245" s="63"/>
      <c r="B1245" s="64"/>
      <c r="C1245" s="65"/>
      <c r="D1245" s="66"/>
      <c r="E1245" s="67"/>
      <c r="G1245" s="69"/>
    </row>
    <row r="1246" spans="1:7" s="68" customFormat="1" ht="15.6" x14ac:dyDescent="0.3">
      <c r="A1246" s="63"/>
      <c r="B1246" s="64"/>
      <c r="C1246" s="65"/>
      <c r="D1246" s="66"/>
      <c r="E1246" s="67"/>
      <c r="G1246" s="69"/>
    </row>
    <row r="1247" spans="1:7" s="68" customFormat="1" ht="15.6" x14ac:dyDescent="0.3">
      <c r="A1247" s="63"/>
      <c r="B1247" s="64"/>
      <c r="C1247" s="65"/>
      <c r="D1247" s="66"/>
      <c r="E1247" s="67"/>
      <c r="G1247" s="69"/>
    </row>
    <row r="1248" spans="1:7" s="68" customFormat="1" ht="15.6" x14ac:dyDescent="0.3">
      <c r="A1248" s="63"/>
      <c r="B1248" s="64"/>
      <c r="C1248" s="65"/>
      <c r="D1248" s="66"/>
      <c r="E1248" s="67"/>
      <c r="G1248" s="69"/>
    </row>
    <row r="1249" spans="1:7" s="68" customFormat="1" ht="15.6" x14ac:dyDescent="0.3">
      <c r="A1249" s="63"/>
      <c r="B1249" s="64"/>
      <c r="C1249" s="65"/>
      <c r="D1249" s="66"/>
      <c r="E1249" s="67"/>
      <c r="G1249" s="69"/>
    </row>
    <row r="1250" spans="1:7" s="68" customFormat="1" ht="15.6" x14ac:dyDescent="0.3">
      <c r="A1250" s="63"/>
      <c r="B1250" s="64"/>
      <c r="C1250" s="65"/>
      <c r="D1250" s="66"/>
      <c r="E1250" s="67"/>
      <c r="G1250" s="69"/>
    </row>
    <row r="1251" spans="1:7" s="68" customFormat="1" ht="15.6" x14ac:dyDescent="0.3">
      <c r="A1251" s="63"/>
      <c r="B1251" s="64"/>
      <c r="C1251" s="65"/>
      <c r="D1251" s="66"/>
      <c r="E1251" s="67"/>
      <c r="G1251" s="69"/>
    </row>
    <row r="1252" spans="1:7" s="68" customFormat="1" ht="15.6" x14ac:dyDescent="0.3">
      <c r="A1252" s="63"/>
      <c r="B1252" s="64"/>
      <c r="C1252" s="65"/>
      <c r="D1252" s="66"/>
      <c r="E1252" s="67"/>
      <c r="G1252" s="69"/>
    </row>
    <row r="1253" spans="1:7" s="68" customFormat="1" ht="15.6" x14ac:dyDescent="0.3">
      <c r="A1253" s="63"/>
      <c r="B1253" s="64"/>
      <c r="C1253" s="65"/>
      <c r="D1253" s="66"/>
      <c r="E1253" s="67"/>
      <c r="G1253" s="69"/>
    </row>
    <row r="1254" spans="1:7" s="68" customFormat="1" ht="15.6" x14ac:dyDescent="0.3">
      <c r="A1254" s="63"/>
      <c r="B1254" s="64"/>
      <c r="C1254" s="65"/>
      <c r="D1254" s="66"/>
      <c r="E1254" s="67"/>
      <c r="G1254" s="69"/>
    </row>
    <row r="1255" spans="1:7" s="68" customFormat="1" ht="15.6" x14ac:dyDescent="0.3">
      <c r="A1255" s="63"/>
      <c r="B1255" s="64"/>
      <c r="C1255" s="65"/>
      <c r="D1255" s="66"/>
      <c r="E1255" s="67"/>
      <c r="G1255" s="69"/>
    </row>
    <row r="1256" spans="1:7" s="68" customFormat="1" ht="15.6" x14ac:dyDescent="0.3">
      <c r="A1256" s="63"/>
      <c r="B1256" s="64"/>
      <c r="C1256" s="65"/>
      <c r="D1256" s="66"/>
      <c r="E1256" s="67"/>
      <c r="G1256" s="69"/>
    </row>
    <row r="1257" spans="1:7" s="68" customFormat="1" ht="15.6" x14ac:dyDescent="0.3">
      <c r="A1257" s="63"/>
      <c r="B1257" s="64"/>
      <c r="C1257" s="65"/>
      <c r="D1257" s="66"/>
      <c r="E1257" s="67"/>
      <c r="G1257" s="69"/>
    </row>
    <row r="1258" spans="1:7" s="68" customFormat="1" ht="15.6" x14ac:dyDescent="0.3">
      <c r="A1258" s="63"/>
      <c r="B1258" s="64"/>
      <c r="C1258" s="65"/>
      <c r="D1258" s="66"/>
      <c r="E1258" s="67"/>
      <c r="G1258" s="69"/>
    </row>
    <row r="1259" spans="1:7" s="68" customFormat="1" ht="15.6" x14ac:dyDescent="0.3">
      <c r="A1259" s="63"/>
      <c r="B1259" s="64"/>
      <c r="C1259" s="65"/>
      <c r="D1259" s="66"/>
      <c r="E1259" s="67"/>
      <c r="G1259" s="69"/>
    </row>
    <row r="1260" spans="1:7" s="68" customFormat="1" ht="15.6" x14ac:dyDescent="0.3">
      <c r="A1260" s="63"/>
      <c r="B1260" s="64"/>
      <c r="C1260" s="65"/>
      <c r="D1260" s="66"/>
      <c r="E1260" s="67"/>
      <c r="G1260" s="69"/>
    </row>
    <row r="1261" spans="1:7" s="68" customFormat="1" ht="15.6" x14ac:dyDescent="0.3">
      <c r="A1261" s="63"/>
      <c r="B1261" s="64"/>
      <c r="C1261" s="65"/>
      <c r="D1261" s="66"/>
      <c r="E1261" s="67"/>
      <c r="G1261" s="69"/>
    </row>
    <row r="1262" spans="1:7" s="68" customFormat="1" ht="15.6" x14ac:dyDescent="0.3">
      <c r="A1262" s="63"/>
      <c r="B1262" s="64"/>
      <c r="C1262" s="65"/>
      <c r="D1262" s="66"/>
      <c r="E1262" s="67"/>
      <c r="G1262" s="69"/>
    </row>
    <row r="1263" spans="1:7" s="68" customFormat="1" ht="15.6" x14ac:dyDescent="0.3">
      <c r="A1263" s="63"/>
      <c r="B1263" s="64"/>
      <c r="C1263" s="65"/>
      <c r="D1263" s="66"/>
      <c r="E1263" s="67"/>
      <c r="G1263" s="69"/>
    </row>
    <row r="1264" spans="1:7" s="68" customFormat="1" ht="15.6" x14ac:dyDescent="0.3">
      <c r="A1264" s="63"/>
      <c r="B1264" s="64"/>
      <c r="C1264" s="65"/>
      <c r="D1264" s="66"/>
      <c r="E1264" s="67"/>
      <c r="G1264" s="69"/>
    </row>
    <row r="1265" spans="1:7" s="68" customFormat="1" ht="15.6" x14ac:dyDescent="0.3">
      <c r="A1265" s="63"/>
      <c r="B1265" s="64"/>
      <c r="C1265" s="65"/>
      <c r="D1265" s="66"/>
      <c r="E1265" s="67"/>
      <c r="G1265" s="69"/>
    </row>
    <row r="1266" spans="1:7" s="68" customFormat="1" ht="15.6" x14ac:dyDescent="0.3">
      <c r="A1266" s="63"/>
      <c r="B1266" s="64"/>
      <c r="C1266" s="65"/>
      <c r="D1266" s="66"/>
      <c r="E1266" s="67"/>
      <c r="G1266" s="69"/>
    </row>
    <row r="1267" spans="1:7" s="68" customFormat="1" ht="15.6" x14ac:dyDescent="0.3">
      <c r="A1267" s="63"/>
      <c r="B1267" s="64"/>
      <c r="C1267" s="65"/>
      <c r="D1267" s="66"/>
      <c r="E1267" s="67"/>
      <c r="G1267" s="69"/>
    </row>
    <row r="1268" spans="1:7" s="68" customFormat="1" ht="15.6" x14ac:dyDescent="0.3">
      <c r="A1268" s="63"/>
      <c r="B1268" s="64"/>
      <c r="C1268" s="65"/>
      <c r="D1268" s="66"/>
      <c r="E1268" s="67"/>
      <c r="G1268" s="69"/>
    </row>
    <row r="1269" spans="1:7" s="68" customFormat="1" ht="15.6" x14ac:dyDescent="0.3">
      <c r="A1269" s="63"/>
      <c r="B1269" s="64"/>
      <c r="C1269" s="65"/>
      <c r="D1269" s="66"/>
      <c r="E1269" s="67"/>
      <c r="G1269" s="69"/>
    </row>
    <row r="1270" spans="1:7" s="68" customFormat="1" ht="15.6" x14ac:dyDescent="0.3">
      <c r="A1270" s="63"/>
      <c r="B1270" s="64"/>
      <c r="C1270" s="65"/>
      <c r="D1270" s="66"/>
      <c r="E1270" s="67"/>
      <c r="G1270" s="69"/>
    </row>
    <row r="1271" spans="1:7" s="68" customFormat="1" ht="15.6" x14ac:dyDescent="0.3">
      <c r="A1271" s="63"/>
      <c r="B1271" s="64"/>
      <c r="C1271" s="65"/>
      <c r="D1271" s="66"/>
      <c r="E1271" s="67"/>
      <c r="G1271" s="69"/>
    </row>
    <row r="1272" spans="1:7" s="68" customFormat="1" ht="15.6" x14ac:dyDescent="0.3">
      <c r="A1272" s="63"/>
      <c r="B1272" s="64"/>
      <c r="C1272" s="65"/>
      <c r="D1272" s="66"/>
      <c r="E1272" s="67"/>
      <c r="G1272" s="69"/>
    </row>
    <row r="1273" spans="1:7" s="68" customFormat="1" ht="15.6" x14ac:dyDescent="0.3">
      <c r="A1273" s="63"/>
      <c r="B1273" s="64"/>
      <c r="C1273" s="65"/>
      <c r="D1273" s="66"/>
      <c r="E1273" s="67"/>
      <c r="G1273" s="69"/>
    </row>
    <row r="1274" spans="1:7" s="68" customFormat="1" ht="15.6" x14ac:dyDescent="0.3">
      <c r="A1274" s="63"/>
      <c r="B1274" s="64"/>
      <c r="C1274" s="65"/>
      <c r="D1274" s="66"/>
      <c r="E1274" s="67"/>
      <c r="G1274" s="69"/>
    </row>
    <row r="1275" spans="1:7" s="68" customFormat="1" ht="15.6" x14ac:dyDescent="0.3">
      <c r="A1275" s="63"/>
      <c r="B1275" s="64"/>
      <c r="C1275" s="65"/>
      <c r="D1275" s="66"/>
      <c r="E1275" s="67"/>
      <c r="G1275" s="69"/>
    </row>
    <row r="1276" spans="1:7" s="68" customFormat="1" ht="15.6" x14ac:dyDescent="0.3">
      <c r="A1276" s="63"/>
      <c r="B1276" s="64"/>
      <c r="C1276" s="65"/>
      <c r="D1276" s="66"/>
      <c r="E1276" s="67"/>
      <c r="G1276" s="69"/>
    </row>
    <row r="1277" spans="1:7" s="68" customFormat="1" ht="15.6" x14ac:dyDescent="0.3">
      <c r="A1277" s="63"/>
      <c r="B1277" s="64"/>
      <c r="C1277" s="65"/>
      <c r="D1277" s="66"/>
      <c r="E1277" s="67"/>
      <c r="G1277" s="69"/>
    </row>
    <row r="1278" spans="1:7" s="68" customFormat="1" ht="15.6" x14ac:dyDescent="0.3">
      <c r="A1278" s="63"/>
      <c r="B1278" s="64"/>
      <c r="C1278" s="65"/>
      <c r="D1278" s="66"/>
      <c r="E1278" s="67"/>
      <c r="G1278" s="69"/>
    </row>
    <row r="1279" spans="1:7" s="68" customFormat="1" ht="15.6" x14ac:dyDescent="0.3">
      <c r="A1279" s="63"/>
      <c r="B1279" s="64"/>
      <c r="C1279" s="65"/>
      <c r="D1279" s="66"/>
      <c r="E1279" s="67"/>
      <c r="G1279" s="69"/>
    </row>
    <row r="1280" spans="1:7" s="68" customFormat="1" ht="15.6" x14ac:dyDescent="0.3">
      <c r="A1280" s="63"/>
      <c r="B1280" s="64"/>
      <c r="C1280" s="65"/>
      <c r="D1280" s="66"/>
      <c r="E1280" s="67"/>
      <c r="G1280" s="69"/>
    </row>
    <row r="1281" spans="1:7" s="68" customFormat="1" ht="15.6" x14ac:dyDescent="0.3">
      <c r="A1281" s="63"/>
      <c r="B1281" s="64"/>
      <c r="C1281" s="65"/>
      <c r="D1281" s="66"/>
      <c r="E1281" s="67"/>
      <c r="G1281" s="69"/>
    </row>
    <row r="1282" spans="1:7" s="68" customFormat="1" ht="15.6" x14ac:dyDescent="0.3">
      <c r="A1282" s="63"/>
      <c r="B1282" s="64"/>
      <c r="C1282" s="65"/>
      <c r="D1282" s="66"/>
      <c r="E1282" s="67"/>
      <c r="G1282" s="69"/>
    </row>
    <row r="1283" spans="1:7" s="68" customFormat="1" ht="15.6" x14ac:dyDescent="0.3">
      <c r="A1283" s="63"/>
      <c r="B1283" s="64"/>
      <c r="C1283" s="65"/>
      <c r="D1283" s="66"/>
      <c r="E1283" s="67"/>
      <c r="G1283" s="69"/>
    </row>
    <row r="1284" spans="1:7" s="68" customFormat="1" ht="15.6" x14ac:dyDescent="0.3">
      <c r="A1284" s="63"/>
      <c r="B1284" s="64"/>
      <c r="C1284" s="65"/>
      <c r="D1284" s="66"/>
      <c r="E1284" s="67"/>
      <c r="G1284" s="69"/>
    </row>
    <row r="1285" spans="1:7" s="68" customFormat="1" ht="15.6" x14ac:dyDescent="0.3">
      <c r="A1285" s="63"/>
      <c r="B1285" s="64"/>
      <c r="C1285" s="65"/>
      <c r="D1285" s="66"/>
      <c r="E1285" s="67"/>
      <c r="G1285" s="69"/>
    </row>
    <row r="1286" spans="1:7" s="68" customFormat="1" ht="15.6" x14ac:dyDescent="0.3">
      <c r="A1286" s="63"/>
      <c r="B1286" s="64"/>
      <c r="C1286" s="65"/>
      <c r="D1286" s="66"/>
      <c r="E1286" s="67"/>
      <c r="G1286" s="69"/>
    </row>
    <row r="1287" spans="1:7" s="68" customFormat="1" ht="15.6" x14ac:dyDescent="0.3">
      <c r="A1287" s="63"/>
      <c r="B1287" s="64"/>
      <c r="C1287" s="65"/>
      <c r="D1287" s="66"/>
      <c r="E1287" s="67"/>
      <c r="G1287" s="69"/>
    </row>
    <row r="1288" spans="1:7" s="68" customFormat="1" ht="15.6" x14ac:dyDescent="0.3">
      <c r="A1288" s="63"/>
      <c r="B1288" s="64"/>
      <c r="C1288" s="65"/>
      <c r="D1288" s="66"/>
      <c r="E1288" s="67"/>
      <c r="G1288" s="69"/>
    </row>
    <row r="1289" spans="1:7" s="68" customFormat="1" ht="15.6" x14ac:dyDescent="0.3">
      <c r="A1289" s="63"/>
      <c r="B1289" s="64"/>
      <c r="C1289" s="65"/>
      <c r="D1289" s="66"/>
      <c r="E1289" s="67"/>
      <c r="G1289" s="69"/>
    </row>
    <row r="1290" spans="1:7" s="68" customFormat="1" ht="15.6" x14ac:dyDescent="0.3">
      <c r="A1290" s="63"/>
      <c r="B1290" s="64"/>
      <c r="C1290" s="65"/>
      <c r="D1290" s="66"/>
      <c r="E1290" s="67"/>
      <c r="G1290" s="69"/>
    </row>
    <row r="1291" spans="1:7" s="68" customFormat="1" ht="15.6" x14ac:dyDescent="0.3">
      <c r="A1291" s="63"/>
      <c r="B1291" s="64"/>
      <c r="C1291" s="65"/>
      <c r="D1291" s="66"/>
      <c r="E1291" s="67"/>
      <c r="G1291" s="69"/>
    </row>
    <row r="1292" spans="1:7" s="68" customFormat="1" ht="15.6" x14ac:dyDescent="0.3">
      <c r="A1292" s="63"/>
      <c r="B1292" s="64"/>
      <c r="C1292" s="65"/>
      <c r="D1292" s="66"/>
      <c r="E1292" s="67"/>
      <c r="G1292" s="69"/>
    </row>
    <row r="1293" spans="1:7" s="68" customFormat="1" ht="15.6" x14ac:dyDescent="0.3">
      <c r="A1293" s="63"/>
      <c r="B1293" s="64"/>
      <c r="C1293" s="65"/>
      <c r="D1293" s="66"/>
      <c r="E1293" s="67"/>
      <c r="G1293" s="69"/>
    </row>
    <row r="1294" spans="1:7" s="68" customFormat="1" ht="15.6" x14ac:dyDescent="0.3">
      <c r="A1294" s="63"/>
      <c r="B1294" s="64"/>
      <c r="C1294" s="65"/>
      <c r="D1294" s="66"/>
      <c r="E1294" s="67"/>
      <c r="G1294" s="69"/>
    </row>
    <row r="1295" spans="1:7" s="68" customFormat="1" ht="15.6" x14ac:dyDescent="0.3">
      <c r="A1295" s="63"/>
      <c r="B1295" s="64"/>
      <c r="C1295" s="65"/>
      <c r="D1295" s="66"/>
      <c r="E1295" s="67"/>
      <c r="G1295" s="69"/>
    </row>
    <row r="1296" spans="1:7" s="68" customFormat="1" ht="15.6" x14ac:dyDescent="0.3">
      <c r="A1296" s="63"/>
      <c r="B1296" s="64"/>
      <c r="C1296" s="65"/>
      <c r="D1296" s="66"/>
      <c r="E1296" s="67"/>
      <c r="G1296" s="69"/>
    </row>
    <row r="1297" spans="1:7" s="68" customFormat="1" ht="15.6" x14ac:dyDescent="0.3">
      <c r="A1297" s="63"/>
      <c r="B1297" s="64"/>
      <c r="C1297" s="65"/>
      <c r="D1297" s="66"/>
      <c r="E1297" s="67"/>
      <c r="G1297" s="69"/>
    </row>
    <row r="1298" spans="1:7" s="68" customFormat="1" ht="15.6" x14ac:dyDescent="0.3">
      <c r="A1298" s="63"/>
      <c r="B1298" s="64"/>
      <c r="C1298" s="65"/>
      <c r="D1298" s="66"/>
      <c r="E1298" s="67"/>
      <c r="G1298" s="69"/>
    </row>
    <row r="1299" spans="1:7" s="68" customFormat="1" ht="15.6" x14ac:dyDescent="0.3">
      <c r="A1299" s="63"/>
      <c r="B1299" s="64"/>
      <c r="C1299" s="65"/>
      <c r="D1299" s="66"/>
      <c r="E1299" s="67"/>
      <c r="G1299" s="69"/>
    </row>
    <row r="1300" spans="1:7" s="68" customFormat="1" ht="15.6" x14ac:dyDescent="0.3">
      <c r="A1300" s="63"/>
      <c r="B1300" s="64"/>
      <c r="C1300" s="65"/>
      <c r="D1300" s="66"/>
      <c r="E1300" s="67"/>
      <c r="G1300" s="69"/>
    </row>
    <row r="1301" spans="1:7" s="68" customFormat="1" ht="15.6" x14ac:dyDescent="0.3">
      <c r="A1301" s="63"/>
      <c r="B1301" s="64"/>
      <c r="C1301" s="65"/>
      <c r="D1301" s="66"/>
      <c r="E1301" s="67"/>
      <c r="G1301" s="69"/>
    </row>
    <row r="1302" spans="1:7" s="68" customFormat="1" ht="15.6" x14ac:dyDescent="0.3">
      <c r="A1302" s="63"/>
      <c r="B1302" s="64"/>
      <c r="C1302" s="65"/>
      <c r="D1302" s="66"/>
      <c r="E1302" s="67"/>
      <c r="G1302" s="69"/>
    </row>
    <row r="1303" spans="1:7" s="68" customFormat="1" ht="15.6" x14ac:dyDescent="0.3">
      <c r="A1303" s="63"/>
      <c r="B1303" s="64"/>
      <c r="C1303" s="65"/>
      <c r="D1303" s="66"/>
      <c r="E1303" s="67"/>
      <c r="G1303" s="69"/>
    </row>
    <row r="1304" spans="1:7" s="68" customFormat="1" ht="15.6" x14ac:dyDescent="0.3">
      <c r="A1304" s="63"/>
      <c r="B1304" s="64"/>
      <c r="C1304" s="65"/>
      <c r="D1304" s="66"/>
      <c r="E1304" s="67"/>
      <c r="G1304" s="69"/>
    </row>
    <row r="1305" spans="1:7" s="68" customFormat="1" ht="15.6" x14ac:dyDescent="0.3">
      <c r="A1305" s="63"/>
      <c r="B1305" s="64"/>
      <c r="C1305" s="65"/>
      <c r="D1305" s="66"/>
      <c r="E1305" s="67"/>
      <c r="G1305" s="69"/>
    </row>
    <row r="1306" spans="1:7" s="68" customFormat="1" ht="15.6" x14ac:dyDescent="0.3">
      <c r="A1306" s="63"/>
      <c r="B1306" s="64"/>
      <c r="C1306" s="65"/>
      <c r="D1306" s="66"/>
      <c r="E1306" s="67"/>
      <c r="G1306" s="69"/>
    </row>
    <row r="1307" spans="1:7" s="68" customFormat="1" ht="15.6" x14ac:dyDescent="0.3">
      <c r="A1307" s="63"/>
      <c r="B1307" s="64"/>
      <c r="C1307" s="65"/>
      <c r="D1307" s="66"/>
      <c r="E1307" s="67"/>
      <c r="G1307" s="69"/>
    </row>
    <row r="1308" spans="1:7" s="68" customFormat="1" ht="15.6" x14ac:dyDescent="0.3">
      <c r="A1308" s="63"/>
      <c r="B1308" s="64"/>
      <c r="C1308" s="65"/>
      <c r="D1308" s="66"/>
      <c r="E1308" s="67"/>
      <c r="G1308" s="69"/>
    </row>
    <row r="1309" spans="1:7" s="68" customFormat="1" ht="15.6" x14ac:dyDescent="0.3">
      <c r="A1309" s="63"/>
      <c r="B1309" s="64"/>
      <c r="C1309" s="65"/>
      <c r="D1309" s="66"/>
      <c r="E1309" s="67"/>
      <c r="G1309" s="69"/>
    </row>
    <row r="1310" spans="1:7" s="68" customFormat="1" ht="15.6" x14ac:dyDescent="0.3">
      <c r="A1310" s="63"/>
      <c r="B1310" s="64"/>
      <c r="C1310" s="65"/>
      <c r="D1310" s="66"/>
      <c r="E1310" s="67"/>
      <c r="G1310" s="69"/>
    </row>
    <row r="1311" spans="1:7" s="68" customFormat="1" ht="15.6" x14ac:dyDescent="0.3">
      <c r="A1311" s="63"/>
      <c r="B1311" s="64"/>
      <c r="C1311" s="65"/>
      <c r="D1311" s="66"/>
      <c r="E1311" s="67"/>
      <c r="G1311" s="69"/>
    </row>
    <row r="1312" spans="1:7" s="68" customFormat="1" ht="15.6" x14ac:dyDescent="0.3">
      <c r="A1312" s="63"/>
      <c r="B1312" s="64"/>
      <c r="C1312" s="65"/>
      <c r="D1312" s="66"/>
      <c r="E1312" s="67"/>
      <c r="G1312" s="69"/>
    </row>
    <row r="1313" spans="1:7" s="68" customFormat="1" ht="15.6" x14ac:dyDescent="0.3">
      <c r="A1313" s="63"/>
      <c r="B1313" s="64"/>
      <c r="C1313" s="65"/>
      <c r="D1313" s="66"/>
      <c r="E1313" s="67"/>
      <c r="G1313" s="69"/>
    </row>
    <row r="1314" spans="1:7" s="68" customFormat="1" ht="15.6" x14ac:dyDescent="0.3">
      <c r="A1314" s="63"/>
      <c r="B1314" s="64"/>
      <c r="C1314" s="65"/>
      <c r="D1314" s="66"/>
      <c r="E1314" s="67"/>
      <c r="G1314" s="69"/>
    </row>
    <row r="1315" spans="1:7" s="68" customFormat="1" ht="15.6" x14ac:dyDescent="0.3">
      <c r="A1315" s="63"/>
      <c r="B1315" s="64"/>
      <c r="C1315" s="65"/>
      <c r="D1315" s="66"/>
      <c r="E1315" s="67"/>
      <c r="G1315" s="69"/>
    </row>
    <row r="1316" spans="1:7" s="68" customFormat="1" ht="15.6" x14ac:dyDescent="0.3">
      <c r="A1316" s="63"/>
      <c r="B1316" s="64"/>
      <c r="C1316" s="65"/>
      <c r="D1316" s="66"/>
      <c r="E1316" s="67"/>
      <c r="G1316" s="69"/>
    </row>
    <row r="1317" spans="1:7" s="68" customFormat="1" ht="15.6" x14ac:dyDescent="0.3">
      <c r="A1317" s="63"/>
      <c r="B1317" s="64"/>
      <c r="C1317" s="65"/>
      <c r="D1317" s="66"/>
      <c r="E1317" s="67"/>
      <c r="G1317" s="69"/>
    </row>
    <row r="1318" spans="1:7" s="68" customFormat="1" ht="15.6" x14ac:dyDescent="0.3">
      <c r="A1318" s="63"/>
      <c r="B1318" s="64"/>
      <c r="C1318" s="65"/>
      <c r="D1318" s="66"/>
      <c r="E1318" s="67"/>
      <c r="G1318" s="69"/>
    </row>
    <row r="1319" spans="1:7" s="68" customFormat="1" ht="15.6" x14ac:dyDescent="0.3">
      <c r="A1319" s="63"/>
      <c r="B1319" s="64"/>
      <c r="C1319" s="65"/>
      <c r="D1319" s="66"/>
      <c r="E1319" s="67"/>
      <c r="G1319" s="69"/>
    </row>
    <row r="1320" spans="1:7" s="68" customFormat="1" ht="15.6" x14ac:dyDescent="0.3">
      <c r="A1320" s="63"/>
      <c r="B1320" s="64"/>
      <c r="C1320" s="65"/>
      <c r="D1320" s="66"/>
      <c r="E1320" s="67"/>
      <c r="G1320" s="69"/>
    </row>
    <row r="1321" spans="1:7" s="68" customFormat="1" ht="15.6" x14ac:dyDescent="0.3">
      <c r="A1321" s="63"/>
      <c r="B1321" s="64"/>
      <c r="C1321" s="65"/>
      <c r="D1321" s="66"/>
      <c r="E1321" s="67"/>
      <c r="G1321" s="69"/>
    </row>
    <row r="1322" spans="1:7" s="68" customFormat="1" ht="15.6" x14ac:dyDescent="0.3">
      <c r="A1322" s="63"/>
      <c r="B1322" s="64"/>
      <c r="C1322" s="65"/>
      <c r="D1322" s="66"/>
      <c r="E1322" s="67"/>
      <c r="G1322" s="69"/>
    </row>
    <row r="1323" spans="1:7" s="68" customFormat="1" ht="15.6" x14ac:dyDescent="0.3">
      <c r="A1323" s="63"/>
      <c r="B1323" s="64"/>
      <c r="C1323" s="65"/>
      <c r="D1323" s="66"/>
      <c r="E1323" s="67"/>
      <c r="G1323" s="69"/>
    </row>
    <row r="1324" spans="1:7" s="68" customFormat="1" ht="15.6" x14ac:dyDescent="0.3">
      <c r="A1324" s="63"/>
      <c r="B1324" s="64"/>
      <c r="C1324" s="65"/>
      <c r="D1324" s="66"/>
      <c r="E1324" s="67"/>
      <c r="G1324" s="69"/>
    </row>
    <row r="1325" spans="1:7" s="68" customFormat="1" ht="15.6" x14ac:dyDescent="0.3">
      <c r="A1325" s="63"/>
      <c r="B1325" s="64"/>
      <c r="C1325" s="65"/>
      <c r="D1325" s="66"/>
      <c r="E1325" s="67"/>
      <c r="G1325" s="69"/>
    </row>
    <row r="1326" spans="1:7" s="68" customFormat="1" ht="15.6" x14ac:dyDescent="0.3">
      <c r="A1326" s="63"/>
      <c r="B1326" s="64"/>
      <c r="C1326" s="65"/>
      <c r="D1326" s="66"/>
      <c r="E1326" s="67"/>
      <c r="G1326" s="69"/>
    </row>
    <row r="1327" spans="1:7" s="68" customFormat="1" ht="15.6" x14ac:dyDescent="0.3">
      <c r="A1327" s="63"/>
      <c r="B1327" s="64"/>
      <c r="C1327" s="65"/>
      <c r="D1327" s="66"/>
      <c r="E1327" s="67"/>
      <c r="G1327" s="69"/>
    </row>
    <row r="1328" spans="1:7" s="68" customFormat="1" ht="15.6" x14ac:dyDescent="0.3">
      <c r="A1328" s="63"/>
      <c r="B1328" s="64"/>
      <c r="C1328" s="65"/>
      <c r="D1328" s="66"/>
      <c r="E1328" s="67"/>
      <c r="G1328" s="69"/>
    </row>
    <row r="1329" spans="1:7" s="68" customFormat="1" ht="15.6" x14ac:dyDescent="0.3">
      <c r="A1329" s="63"/>
      <c r="B1329" s="64"/>
      <c r="C1329" s="65"/>
      <c r="D1329" s="66"/>
      <c r="E1329" s="67"/>
      <c r="G1329" s="69"/>
    </row>
    <row r="1330" spans="1:7" s="68" customFormat="1" ht="15.6" x14ac:dyDescent="0.3">
      <c r="A1330" s="63"/>
      <c r="B1330" s="64"/>
      <c r="C1330" s="65"/>
      <c r="D1330" s="66"/>
      <c r="E1330" s="67"/>
      <c r="G1330" s="69"/>
    </row>
    <row r="1331" spans="1:7" s="68" customFormat="1" ht="15.6" x14ac:dyDescent="0.3">
      <c r="A1331" s="63"/>
      <c r="B1331" s="64"/>
      <c r="C1331" s="65"/>
      <c r="D1331" s="66"/>
      <c r="E1331" s="67"/>
      <c r="G1331" s="69"/>
    </row>
    <row r="1332" spans="1:7" s="68" customFormat="1" ht="15.6" x14ac:dyDescent="0.3">
      <c r="A1332" s="63"/>
      <c r="B1332" s="64"/>
      <c r="C1332" s="65"/>
      <c r="D1332" s="66"/>
      <c r="E1332" s="67"/>
      <c r="G1332" s="69"/>
    </row>
    <row r="1333" spans="1:7" s="68" customFormat="1" ht="15.6" x14ac:dyDescent="0.3">
      <c r="A1333" s="63"/>
      <c r="B1333" s="64"/>
      <c r="C1333" s="65"/>
      <c r="D1333" s="66"/>
      <c r="E1333" s="67"/>
      <c r="G1333" s="69"/>
    </row>
    <row r="1334" spans="1:7" s="68" customFormat="1" ht="15.6" x14ac:dyDescent="0.3">
      <c r="A1334" s="63"/>
      <c r="B1334" s="64"/>
      <c r="C1334" s="65"/>
      <c r="D1334" s="66"/>
      <c r="E1334" s="67"/>
      <c r="G1334" s="69"/>
    </row>
    <row r="1335" spans="1:7" s="68" customFormat="1" ht="15.6" x14ac:dyDescent="0.3">
      <c r="A1335" s="63"/>
      <c r="B1335" s="64"/>
      <c r="C1335" s="65"/>
      <c r="D1335" s="66"/>
      <c r="E1335" s="67"/>
      <c r="G1335" s="69"/>
    </row>
    <row r="1336" spans="1:7" s="68" customFormat="1" ht="15.6" x14ac:dyDescent="0.3">
      <c r="A1336" s="63"/>
      <c r="B1336" s="64"/>
      <c r="C1336" s="65"/>
      <c r="D1336" s="66"/>
      <c r="E1336" s="67"/>
      <c r="G1336" s="69"/>
    </row>
    <row r="1337" spans="1:7" s="68" customFormat="1" ht="15.6" x14ac:dyDescent="0.3">
      <c r="A1337" s="63"/>
      <c r="B1337" s="64"/>
      <c r="C1337" s="65"/>
      <c r="D1337" s="66"/>
      <c r="E1337" s="67"/>
      <c r="G1337" s="69"/>
    </row>
    <row r="1338" spans="1:7" s="68" customFormat="1" ht="15.6" x14ac:dyDescent="0.3">
      <c r="A1338" s="63"/>
      <c r="B1338" s="64"/>
      <c r="C1338" s="65"/>
      <c r="D1338" s="66"/>
      <c r="E1338" s="67"/>
      <c r="G1338" s="69"/>
    </row>
    <row r="1339" spans="1:7" s="68" customFormat="1" ht="15.6" x14ac:dyDescent="0.3">
      <c r="A1339" s="63"/>
      <c r="B1339" s="64"/>
      <c r="C1339" s="65"/>
      <c r="D1339" s="66"/>
      <c r="E1339" s="67"/>
      <c r="G1339" s="69"/>
    </row>
    <row r="1340" spans="1:7" s="68" customFormat="1" ht="15.6" x14ac:dyDescent="0.3">
      <c r="A1340" s="63"/>
      <c r="B1340" s="64"/>
      <c r="C1340" s="65"/>
      <c r="D1340" s="66"/>
      <c r="E1340" s="67"/>
      <c r="G1340" s="69"/>
    </row>
    <row r="1341" spans="1:7" s="68" customFormat="1" ht="15.6" x14ac:dyDescent="0.3">
      <c r="A1341" s="63"/>
      <c r="B1341" s="64"/>
      <c r="C1341" s="65"/>
      <c r="D1341" s="66"/>
      <c r="E1341" s="67"/>
      <c r="G1341" s="69"/>
    </row>
    <row r="1342" spans="1:7" s="68" customFormat="1" ht="15.6" x14ac:dyDescent="0.3">
      <c r="A1342" s="63"/>
      <c r="B1342" s="64"/>
      <c r="C1342" s="65"/>
      <c r="D1342" s="66"/>
      <c r="E1342" s="67"/>
      <c r="G1342" s="69"/>
    </row>
    <row r="1343" spans="1:7" s="68" customFormat="1" ht="15.6" x14ac:dyDescent="0.3">
      <c r="A1343" s="63"/>
      <c r="B1343" s="64"/>
      <c r="C1343" s="65"/>
      <c r="D1343" s="66"/>
      <c r="E1343" s="67"/>
      <c r="G1343" s="69"/>
    </row>
    <row r="1344" spans="1:7" s="68" customFormat="1" ht="15.6" x14ac:dyDescent="0.3">
      <c r="A1344" s="63"/>
      <c r="B1344" s="64"/>
      <c r="C1344" s="65"/>
      <c r="D1344" s="66"/>
      <c r="E1344" s="67"/>
      <c r="G1344" s="69"/>
    </row>
    <row r="1345" spans="1:7" s="68" customFormat="1" ht="15.6" x14ac:dyDescent="0.3">
      <c r="A1345" s="63"/>
      <c r="B1345" s="64"/>
      <c r="C1345" s="65"/>
      <c r="D1345" s="66"/>
      <c r="E1345" s="67"/>
      <c r="G1345" s="69"/>
    </row>
    <row r="1346" spans="1:7" s="68" customFormat="1" ht="15.6" x14ac:dyDescent="0.3">
      <c r="A1346" s="63"/>
      <c r="B1346" s="64"/>
      <c r="C1346" s="65"/>
      <c r="D1346" s="66"/>
      <c r="E1346" s="67"/>
      <c r="G1346" s="69"/>
    </row>
    <row r="1347" spans="1:7" s="68" customFormat="1" ht="15.6" x14ac:dyDescent="0.3">
      <c r="A1347" s="63"/>
      <c r="B1347" s="64"/>
      <c r="C1347" s="65"/>
      <c r="D1347" s="66"/>
      <c r="E1347" s="67"/>
      <c r="G1347" s="69"/>
    </row>
    <row r="1348" spans="1:7" s="68" customFormat="1" ht="15.6" x14ac:dyDescent="0.3">
      <c r="A1348" s="63"/>
      <c r="B1348" s="64"/>
      <c r="C1348" s="65"/>
      <c r="D1348" s="66"/>
      <c r="E1348" s="67"/>
      <c r="G1348" s="69"/>
    </row>
    <row r="1349" spans="1:7" s="68" customFormat="1" ht="15.6" x14ac:dyDescent="0.3">
      <c r="A1349" s="63"/>
      <c r="B1349" s="64"/>
      <c r="C1349" s="65"/>
      <c r="D1349" s="66"/>
      <c r="E1349" s="67"/>
      <c r="G1349" s="69"/>
    </row>
    <row r="1350" spans="1:7" s="68" customFormat="1" ht="15.6" x14ac:dyDescent="0.3">
      <c r="A1350" s="63"/>
      <c r="B1350" s="64"/>
      <c r="C1350" s="65"/>
      <c r="D1350" s="66"/>
      <c r="E1350" s="67"/>
      <c r="G1350" s="69"/>
    </row>
    <row r="1351" spans="1:7" s="68" customFormat="1" ht="15.6" x14ac:dyDescent="0.3">
      <c r="A1351" s="63"/>
      <c r="B1351" s="64"/>
      <c r="C1351" s="65"/>
      <c r="D1351" s="66"/>
      <c r="E1351" s="67"/>
      <c r="G1351" s="69"/>
    </row>
    <row r="1352" spans="1:7" s="68" customFormat="1" ht="15.6" x14ac:dyDescent="0.3">
      <c r="A1352" s="63"/>
      <c r="B1352" s="64"/>
      <c r="C1352" s="65"/>
      <c r="D1352" s="66"/>
      <c r="E1352" s="67"/>
      <c r="G1352" s="69"/>
    </row>
    <row r="1353" spans="1:7" s="68" customFormat="1" ht="15.6" x14ac:dyDescent="0.3">
      <c r="A1353" s="63"/>
      <c r="B1353" s="64"/>
      <c r="C1353" s="65"/>
      <c r="D1353" s="66"/>
      <c r="E1353" s="67"/>
      <c r="G1353" s="69"/>
    </row>
    <row r="1354" spans="1:7" s="68" customFormat="1" ht="15.6" x14ac:dyDescent="0.3">
      <c r="A1354" s="63"/>
      <c r="B1354" s="64"/>
      <c r="C1354" s="65"/>
      <c r="D1354" s="66"/>
      <c r="E1354" s="67"/>
      <c r="G1354" s="69"/>
    </row>
    <row r="1355" spans="1:7" s="68" customFormat="1" ht="15.6" x14ac:dyDescent="0.3">
      <c r="A1355" s="63"/>
      <c r="B1355" s="64"/>
      <c r="C1355" s="65"/>
      <c r="D1355" s="66"/>
      <c r="E1355" s="67"/>
      <c r="G1355" s="69"/>
    </row>
    <row r="1356" spans="1:7" s="68" customFormat="1" ht="15.6" x14ac:dyDescent="0.3">
      <c r="A1356" s="63"/>
      <c r="B1356" s="64"/>
      <c r="C1356" s="65"/>
      <c r="D1356" s="66"/>
      <c r="E1356" s="67"/>
      <c r="G1356" s="69"/>
    </row>
    <row r="1357" spans="1:7" s="68" customFormat="1" ht="15.6" x14ac:dyDescent="0.3">
      <c r="A1357" s="63"/>
      <c r="B1357" s="64"/>
      <c r="C1357" s="65"/>
      <c r="D1357" s="66"/>
      <c r="E1357" s="67"/>
      <c r="G1357" s="69"/>
    </row>
    <row r="1358" spans="1:7" s="68" customFormat="1" ht="15.6" x14ac:dyDescent="0.3">
      <c r="A1358" s="63"/>
      <c r="B1358" s="64"/>
      <c r="C1358" s="65"/>
      <c r="D1358" s="66"/>
      <c r="E1358" s="67"/>
      <c r="G1358" s="69"/>
    </row>
    <row r="1359" spans="1:7" s="68" customFormat="1" ht="15.6" x14ac:dyDescent="0.3">
      <c r="A1359" s="63"/>
      <c r="B1359" s="64"/>
      <c r="C1359" s="65"/>
      <c r="D1359" s="66"/>
      <c r="E1359" s="67"/>
      <c r="G1359" s="69"/>
    </row>
    <row r="1360" spans="1:7" s="68" customFormat="1" ht="15.6" x14ac:dyDescent="0.3">
      <c r="A1360" s="63"/>
      <c r="B1360" s="64"/>
      <c r="C1360" s="65"/>
      <c r="D1360" s="66"/>
      <c r="E1360" s="67"/>
      <c r="G1360" s="69"/>
    </row>
    <row r="1361" spans="1:7" s="68" customFormat="1" ht="15.6" x14ac:dyDescent="0.3">
      <c r="A1361" s="63"/>
      <c r="B1361" s="64"/>
      <c r="C1361" s="65"/>
      <c r="D1361" s="66"/>
      <c r="E1361" s="67"/>
      <c r="G1361" s="69"/>
    </row>
    <row r="1362" spans="1:7" s="68" customFormat="1" ht="15.6" x14ac:dyDescent="0.3">
      <c r="A1362" s="63"/>
      <c r="B1362" s="64"/>
      <c r="C1362" s="65"/>
      <c r="D1362" s="66"/>
      <c r="E1362" s="67"/>
      <c r="G1362" s="69"/>
    </row>
    <row r="1363" spans="1:7" s="68" customFormat="1" ht="15.6" x14ac:dyDescent="0.3">
      <c r="A1363" s="63"/>
      <c r="B1363" s="64"/>
      <c r="C1363" s="65"/>
      <c r="D1363" s="66"/>
      <c r="E1363" s="67"/>
      <c r="G1363" s="69"/>
    </row>
    <row r="1364" spans="1:7" s="68" customFormat="1" ht="15.6" x14ac:dyDescent="0.3">
      <c r="A1364" s="63"/>
      <c r="B1364" s="64"/>
      <c r="C1364" s="65"/>
      <c r="D1364" s="66"/>
      <c r="E1364" s="67"/>
      <c r="G1364" s="69"/>
    </row>
    <row r="1365" spans="1:7" s="68" customFormat="1" ht="15.6" x14ac:dyDescent="0.3">
      <c r="A1365" s="63"/>
      <c r="B1365" s="64"/>
      <c r="C1365" s="65"/>
      <c r="D1365" s="66"/>
      <c r="E1365" s="67"/>
      <c r="G1365" s="69"/>
    </row>
    <row r="1366" spans="1:7" s="68" customFormat="1" ht="15.6" x14ac:dyDescent="0.3">
      <c r="A1366" s="63"/>
      <c r="B1366" s="64"/>
      <c r="C1366" s="65"/>
      <c r="D1366" s="66"/>
      <c r="E1366" s="67"/>
      <c r="G1366" s="69"/>
    </row>
    <row r="1367" spans="1:7" s="68" customFormat="1" ht="15.6" x14ac:dyDescent="0.3">
      <c r="A1367" s="63"/>
      <c r="B1367" s="64"/>
      <c r="C1367" s="65"/>
      <c r="D1367" s="66"/>
      <c r="E1367" s="67"/>
      <c r="G1367" s="69"/>
    </row>
    <row r="1368" spans="1:7" s="68" customFormat="1" ht="15.6" x14ac:dyDescent="0.3">
      <c r="A1368" s="63"/>
      <c r="B1368" s="64"/>
      <c r="C1368" s="65"/>
      <c r="D1368" s="66"/>
      <c r="E1368" s="67"/>
      <c r="G1368" s="69"/>
    </row>
    <row r="1369" spans="1:7" s="68" customFormat="1" ht="15.6" x14ac:dyDescent="0.3">
      <c r="A1369" s="63"/>
      <c r="B1369" s="64"/>
      <c r="C1369" s="65"/>
      <c r="D1369" s="66"/>
      <c r="E1369" s="67"/>
      <c r="G1369" s="69"/>
    </row>
    <row r="1370" spans="1:7" s="68" customFormat="1" ht="15.6" x14ac:dyDescent="0.3">
      <c r="A1370" s="63"/>
      <c r="B1370" s="64"/>
      <c r="C1370" s="65"/>
      <c r="D1370" s="66"/>
      <c r="E1370" s="67"/>
      <c r="G1370" s="69"/>
    </row>
    <row r="1371" spans="1:7" s="68" customFormat="1" ht="15.6" x14ac:dyDescent="0.3">
      <c r="A1371" s="63"/>
      <c r="B1371" s="64"/>
      <c r="C1371" s="65"/>
      <c r="D1371" s="66"/>
      <c r="E1371" s="67"/>
      <c r="G1371" s="69"/>
    </row>
    <row r="1372" spans="1:7" s="68" customFormat="1" ht="15.6" x14ac:dyDescent="0.3">
      <c r="A1372" s="63"/>
      <c r="B1372" s="64"/>
      <c r="C1372" s="65"/>
      <c r="D1372" s="66"/>
      <c r="E1372" s="67"/>
      <c r="G1372" s="69"/>
    </row>
    <row r="1373" spans="1:7" s="68" customFormat="1" ht="15.6" x14ac:dyDescent="0.3">
      <c r="A1373" s="63"/>
      <c r="B1373" s="64"/>
      <c r="C1373" s="65"/>
      <c r="D1373" s="66"/>
      <c r="E1373" s="67"/>
      <c r="G1373" s="69"/>
    </row>
    <row r="1374" spans="1:7" s="68" customFormat="1" ht="15.6" x14ac:dyDescent="0.3">
      <c r="A1374" s="63"/>
      <c r="B1374" s="64"/>
      <c r="C1374" s="65"/>
      <c r="D1374" s="66"/>
      <c r="E1374" s="67"/>
      <c r="G1374" s="69"/>
    </row>
    <row r="1375" spans="1:7" s="68" customFormat="1" ht="15.6" x14ac:dyDescent="0.3">
      <c r="A1375" s="63"/>
      <c r="B1375" s="64"/>
      <c r="C1375" s="65"/>
      <c r="D1375" s="66"/>
      <c r="E1375" s="67"/>
      <c r="G1375" s="69"/>
    </row>
    <row r="1376" spans="1:7" s="68" customFormat="1" ht="15.6" x14ac:dyDescent="0.3">
      <c r="A1376" s="63"/>
      <c r="B1376" s="64"/>
      <c r="C1376" s="65"/>
      <c r="D1376" s="66"/>
      <c r="E1376" s="67"/>
      <c r="G1376" s="69"/>
    </row>
    <row r="1377" spans="1:7" s="68" customFormat="1" ht="15.6" x14ac:dyDescent="0.3">
      <c r="A1377" s="63"/>
      <c r="B1377" s="64"/>
      <c r="C1377" s="65"/>
      <c r="D1377" s="66"/>
      <c r="E1377" s="67"/>
      <c r="G1377" s="69"/>
    </row>
    <row r="1378" spans="1:7" s="68" customFormat="1" ht="15.6" x14ac:dyDescent="0.3">
      <c r="A1378" s="63"/>
      <c r="B1378" s="64"/>
      <c r="C1378" s="65"/>
      <c r="D1378" s="66"/>
      <c r="E1378" s="67"/>
      <c r="G1378" s="69"/>
    </row>
    <row r="1379" spans="1:7" s="68" customFormat="1" ht="15.6" x14ac:dyDescent="0.3">
      <c r="A1379" s="63"/>
      <c r="B1379" s="64"/>
      <c r="C1379" s="65"/>
      <c r="D1379" s="66"/>
      <c r="E1379" s="67"/>
      <c r="G1379" s="69"/>
    </row>
    <row r="1380" spans="1:7" s="68" customFormat="1" ht="15.6" x14ac:dyDescent="0.3">
      <c r="A1380" s="63"/>
      <c r="B1380" s="64"/>
      <c r="C1380" s="65"/>
      <c r="D1380" s="66"/>
      <c r="E1380" s="67"/>
      <c r="G1380" s="69"/>
    </row>
    <row r="1381" spans="1:7" s="68" customFormat="1" ht="15.6" x14ac:dyDescent="0.3">
      <c r="A1381" s="63"/>
      <c r="B1381" s="64"/>
      <c r="C1381" s="65"/>
      <c r="D1381" s="66"/>
      <c r="E1381" s="67"/>
      <c r="G1381" s="69"/>
    </row>
    <row r="1382" spans="1:7" s="68" customFormat="1" ht="15.6" x14ac:dyDescent="0.3">
      <c r="A1382" s="63"/>
      <c r="B1382" s="64"/>
      <c r="C1382" s="65"/>
      <c r="D1382" s="66"/>
      <c r="E1382" s="67"/>
      <c r="G1382" s="69"/>
    </row>
    <row r="1383" spans="1:7" s="68" customFormat="1" ht="15.6" x14ac:dyDescent="0.3">
      <c r="A1383" s="63"/>
      <c r="B1383" s="64"/>
      <c r="C1383" s="65"/>
      <c r="D1383" s="66"/>
      <c r="E1383" s="67"/>
      <c r="G1383" s="69"/>
    </row>
    <row r="1384" spans="1:7" s="68" customFormat="1" ht="15.6" x14ac:dyDescent="0.3">
      <c r="A1384" s="63"/>
      <c r="B1384" s="64"/>
      <c r="C1384" s="65"/>
      <c r="D1384" s="66"/>
      <c r="E1384" s="67"/>
      <c r="G1384" s="69"/>
    </row>
    <row r="1385" spans="1:7" s="68" customFormat="1" ht="15.6" x14ac:dyDescent="0.3">
      <c r="A1385" s="63"/>
      <c r="B1385" s="64"/>
      <c r="C1385" s="65"/>
      <c r="D1385" s="66"/>
      <c r="E1385" s="67"/>
      <c r="G1385" s="69"/>
    </row>
    <row r="1386" spans="1:7" s="68" customFormat="1" ht="15.6" x14ac:dyDescent="0.3">
      <c r="A1386" s="63"/>
      <c r="B1386" s="64"/>
      <c r="C1386" s="65"/>
      <c r="D1386" s="66"/>
      <c r="E1386" s="67"/>
      <c r="G1386" s="69"/>
    </row>
    <row r="1387" spans="1:7" s="68" customFormat="1" ht="15.6" x14ac:dyDescent="0.3">
      <c r="A1387" s="63"/>
      <c r="B1387" s="64"/>
      <c r="C1387" s="65"/>
      <c r="D1387" s="66"/>
      <c r="E1387" s="67"/>
      <c r="G1387" s="69"/>
    </row>
    <row r="1388" spans="1:7" s="68" customFormat="1" ht="15.6" x14ac:dyDescent="0.3">
      <c r="A1388" s="63"/>
      <c r="B1388" s="64"/>
      <c r="C1388" s="65"/>
      <c r="D1388" s="66"/>
      <c r="E1388" s="67"/>
      <c r="G1388" s="69"/>
    </row>
    <row r="1389" spans="1:7" s="68" customFormat="1" ht="15.6" x14ac:dyDescent="0.3">
      <c r="A1389" s="63"/>
      <c r="B1389" s="64"/>
      <c r="C1389" s="65"/>
      <c r="D1389" s="66"/>
      <c r="E1389" s="67"/>
      <c r="G1389" s="69"/>
    </row>
    <row r="1390" spans="1:7" s="68" customFormat="1" ht="15.6" x14ac:dyDescent="0.3">
      <c r="A1390" s="63"/>
      <c r="B1390" s="64"/>
      <c r="C1390" s="65"/>
      <c r="D1390" s="66"/>
      <c r="E1390" s="67"/>
      <c r="G1390" s="69"/>
    </row>
    <row r="1391" spans="1:7" s="68" customFormat="1" ht="15.6" x14ac:dyDescent="0.3">
      <c r="A1391" s="63"/>
      <c r="B1391" s="64"/>
      <c r="C1391" s="65"/>
      <c r="D1391" s="66"/>
      <c r="E1391" s="67"/>
      <c r="G1391" s="69"/>
    </row>
    <row r="1392" spans="1:7" s="68" customFormat="1" ht="15.6" x14ac:dyDescent="0.3">
      <c r="A1392" s="63"/>
      <c r="B1392" s="64"/>
      <c r="C1392" s="65"/>
      <c r="D1392" s="66"/>
      <c r="E1392" s="67"/>
      <c r="G1392" s="69"/>
    </row>
    <row r="1393" spans="1:7" s="68" customFormat="1" ht="15.6" x14ac:dyDescent="0.3">
      <c r="A1393" s="63"/>
      <c r="B1393" s="64"/>
      <c r="C1393" s="65"/>
      <c r="D1393" s="66"/>
      <c r="E1393" s="67"/>
      <c r="G1393" s="69"/>
    </row>
    <row r="1394" spans="1:7" s="68" customFormat="1" ht="15.6" x14ac:dyDescent="0.3">
      <c r="A1394" s="63"/>
      <c r="B1394" s="64"/>
      <c r="C1394" s="65"/>
      <c r="D1394" s="66"/>
      <c r="E1394" s="67"/>
      <c r="G1394" s="69"/>
    </row>
    <row r="1395" spans="1:7" s="68" customFormat="1" ht="15.6" x14ac:dyDescent="0.3">
      <c r="A1395" s="63"/>
      <c r="B1395" s="64"/>
      <c r="C1395" s="65"/>
      <c r="D1395" s="66"/>
      <c r="E1395" s="67"/>
      <c r="G1395" s="69"/>
    </row>
    <row r="1396" spans="1:7" s="68" customFormat="1" ht="15.6" x14ac:dyDescent="0.3">
      <c r="A1396" s="63"/>
      <c r="B1396" s="64"/>
      <c r="C1396" s="65"/>
      <c r="D1396" s="66"/>
      <c r="E1396" s="67"/>
      <c r="G1396" s="69"/>
    </row>
    <row r="1397" spans="1:7" s="68" customFormat="1" ht="15.6" x14ac:dyDescent="0.3">
      <c r="A1397" s="63"/>
      <c r="B1397" s="64"/>
      <c r="C1397" s="65"/>
      <c r="D1397" s="66"/>
      <c r="E1397" s="67"/>
      <c r="G1397" s="69"/>
    </row>
    <row r="1398" spans="1:7" s="68" customFormat="1" ht="15.6" x14ac:dyDescent="0.3">
      <c r="A1398" s="63"/>
      <c r="B1398" s="64"/>
      <c r="C1398" s="65"/>
      <c r="D1398" s="66"/>
      <c r="E1398" s="67"/>
      <c r="G1398" s="69"/>
    </row>
    <row r="1399" spans="1:7" s="68" customFormat="1" ht="15.6" x14ac:dyDescent="0.3">
      <c r="A1399" s="63"/>
      <c r="B1399" s="64"/>
      <c r="C1399" s="65"/>
      <c r="D1399" s="66"/>
      <c r="E1399" s="67"/>
      <c r="G1399" s="69"/>
    </row>
    <row r="1400" spans="1:7" s="68" customFormat="1" ht="15.6" x14ac:dyDescent="0.3">
      <c r="A1400" s="63"/>
      <c r="B1400" s="64"/>
      <c r="C1400" s="65"/>
      <c r="D1400" s="66"/>
      <c r="E1400" s="67"/>
      <c r="G1400" s="69"/>
    </row>
    <row r="1401" spans="1:7" s="68" customFormat="1" ht="15.6" x14ac:dyDescent="0.3">
      <c r="A1401" s="63"/>
      <c r="B1401" s="64"/>
      <c r="C1401" s="65"/>
      <c r="D1401" s="66"/>
      <c r="E1401" s="67"/>
      <c r="G1401" s="69"/>
    </row>
    <row r="1402" spans="1:7" s="68" customFormat="1" ht="15.6" x14ac:dyDescent="0.3">
      <c r="A1402" s="63"/>
      <c r="B1402" s="64"/>
      <c r="C1402" s="65"/>
      <c r="D1402" s="66"/>
      <c r="E1402" s="67"/>
      <c r="G1402" s="69"/>
    </row>
    <row r="1403" spans="1:7" s="68" customFormat="1" ht="15.6" x14ac:dyDescent="0.3">
      <c r="A1403" s="63"/>
      <c r="B1403" s="64"/>
      <c r="C1403" s="65"/>
      <c r="D1403" s="66"/>
      <c r="E1403" s="67"/>
      <c r="G1403" s="69"/>
    </row>
    <row r="1404" spans="1:7" s="68" customFormat="1" ht="15.6" x14ac:dyDescent="0.3">
      <c r="A1404" s="63"/>
      <c r="B1404" s="64"/>
      <c r="C1404" s="65"/>
      <c r="D1404" s="66"/>
      <c r="E1404" s="67"/>
      <c r="G1404" s="69"/>
    </row>
    <row r="1405" spans="1:7" s="68" customFormat="1" ht="15.6" x14ac:dyDescent="0.3">
      <c r="A1405" s="63"/>
      <c r="B1405" s="64"/>
      <c r="C1405" s="65"/>
      <c r="D1405" s="66"/>
      <c r="E1405" s="67"/>
      <c r="G1405" s="69"/>
    </row>
    <row r="1406" spans="1:7" s="68" customFormat="1" ht="15.6" x14ac:dyDescent="0.3">
      <c r="A1406" s="63"/>
      <c r="B1406" s="64"/>
      <c r="C1406" s="65"/>
      <c r="D1406" s="66"/>
      <c r="E1406" s="67"/>
      <c r="G1406" s="69"/>
    </row>
    <row r="1407" spans="1:7" s="68" customFormat="1" ht="15.6" x14ac:dyDescent="0.3">
      <c r="A1407" s="63"/>
      <c r="B1407" s="64"/>
      <c r="C1407" s="65"/>
      <c r="D1407" s="66"/>
      <c r="E1407" s="67"/>
      <c r="G1407" s="69"/>
    </row>
    <row r="1408" spans="1:7" s="68" customFormat="1" ht="15.6" x14ac:dyDescent="0.3">
      <c r="A1408" s="63"/>
      <c r="B1408" s="64"/>
      <c r="C1408" s="65"/>
      <c r="D1408" s="66"/>
      <c r="E1408" s="67"/>
      <c r="G1408" s="69"/>
    </row>
    <row r="1409" spans="1:7" s="68" customFormat="1" ht="15.6" x14ac:dyDescent="0.3">
      <c r="A1409" s="63"/>
      <c r="B1409" s="64"/>
      <c r="C1409" s="65"/>
      <c r="D1409" s="66"/>
      <c r="E1409" s="67"/>
      <c r="G1409" s="69"/>
    </row>
    <row r="1410" spans="1:7" s="68" customFormat="1" ht="15.6" x14ac:dyDescent="0.3">
      <c r="A1410" s="63"/>
      <c r="B1410" s="64"/>
      <c r="C1410" s="65"/>
      <c r="D1410" s="66"/>
      <c r="E1410" s="67"/>
      <c r="G1410" s="69"/>
    </row>
    <row r="1411" spans="1:7" s="68" customFormat="1" ht="15.6" x14ac:dyDescent="0.3">
      <c r="A1411" s="63"/>
      <c r="B1411" s="64"/>
      <c r="C1411" s="65"/>
      <c r="D1411" s="66"/>
      <c r="E1411" s="67"/>
      <c r="G1411" s="69"/>
    </row>
    <row r="1412" spans="1:7" s="68" customFormat="1" ht="15.6" x14ac:dyDescent="0.3">
      <c r="A1412" s="63"/>
      <c r="B1412" s="64"/>
      <c r="C1412" s="65"/>
      <c r="D1412" s="66"/>
      <c r="E1412" s="67"/>
      <c r="G1412" s="69"/>
    </row>
    <row r="1413" spans="1:7" s="68" customFormat="1" ht="15.6" x14ac:dyDescent="0.3">
      <c r="A1413" s="63"/>
      <c r="B1413" s="64"/>
      <c r="C1413" s="65"/>
      <c r="D1413" s="66"/>
      <c r="E1413" s="67"/>
      <c r="G1413" s="69"/>
    </row>
    <row r="1414" spans="1:7" s="68" customFormat="1" ht="15.6" x14ac:dyDescent="0.3">
      <c r="A1414" s="63"/>
      <c r="B1414" s="64"/>
      <c r="C1414" s="65"/>
      <c r="D1414" s="66"/>
      <c r="E1414" s="67"/>
      <c r="G1414" s="69"/>
    </row>
    <row r="1415" spans="1:7" s="68" customFormat="1" ht="15.6" x14ac:dyDescent="0.3">
      <c r="A1415" s="63"/>
      <c r="B1415" s="64"/>
      <c r="C1415" s="65"/>
      <c r="D1415" s="66"/>
      <c r="E1415" s="67"/>
      <c r="G1415" s="69"/>
    </row>
    <row r="1416" spans="1:7" s="68" customFormat="1" ht="15.6" x14ac:dyDescent="0.3">
      <c r="A1416" s="63"/>
      <c r="B1416" s="64"/>
      <c r="C1416" s="65"/>
      <c r="D1416" s="66"/>
      <c r="E1416" s="67"/>
      <c r="G1416" s="69"/>
    </row>
    <row r="1417" spans="1:7" s="68" customFormat="1" ht="15.6" x14ac:dyDescent="0.3">
      <c r="A1417" s="63"/>
      <c r="B1417" s="64"/>
      <c r="C1417" s="65"/>
      <c r="D1417" s="66"/>
      <c r="E1417" s="67"/>
      <c r="G1417" s="69"/>
    </row>
    <row r="1418" spans="1:7" s="68" customFormat="1" ht="15.6" x14ac:dyDescent="0.3">
      <c r="A1418" s="63"/>
      <c r="B1418" s="64"/>
      <c r="C1418" s="65"/>
      <c r="D1418" s="66"/>
      <c r="E1418" s="67"/>
      <c r="G1418" s="69"/>
    </row>
    <row r="1419" spans="1:7" s="68" customFormat="1" ht="15.6" x14ac:dyDescent="0.3">
      <c r="A1419" s="63"/>
      <c r="B1419" s="64"/>
      <c r="C1419" s="65"/>
      <c r="D1419" s="66"/>
      <c r="E1419" s="67"/>
      <c r="G1419" s="69"/>
    </row>
    <row r="1420" spans="1:7" s="68" customFormat="1" ht="15.6" x14ac:dyDescent="0.3">
      <c r="A1420" s="63"/>
      <c r="B1420" s="64"/>
      <c r="C1420" s="65"/>
      <c r="D1420" s="66"/>
      <c r="E1420" s="67"/>
      <c r="G1420" s="69"/>
    </row>
    <row r="1421" spans="1:7" s="68" customFormat="1" ht="15.6" x14ac:dyDescent="0.3">
      <c r="A1421" s="63"/>
      <c r="B1421" s="64"/>
      <c r="C1421" s="65"/>
      <c r="D1421" s="66"/>
      <c r="E1421" s="67"/>
      <c r="G1421" s="69"/>
    </row>
    <row r="1422" spans="1:7" s="68" customFormat="1" ht="15.6" x14ac:dyDescent="0.3">
      <c r="A1422" s="63"/>
      <c r="B1422" s="64"/>
      <c r="C1422" s="65"/>
      <c r="D1422" s="66"/>
      <c r="E1422" s="67"/>
      <c r="G1422" s="69"/>
    </row>
    <row r="1423" spans="1:7" s="68" customFormat="1" ht="15.6" x14ac:dyDescent="0.3">
      <c r="A1423" s="63"/>
      <c r="B1423" s="64"/>
      <c r="C1423" s="65"/>
      <c r="D1423" s="66"/>
      <c r="E1423" s="67"/>
      <c r="G1423" s="69"/>
    </row>
    <row r="1424" spans="1:7" s="68" customFormat="1" ht="15.6" x14ac:dyDescent="0.3">
      <c r="A1424" s="63"/>
      <c r="B1424" s="64"/>
      <c r="C1424" s="65"/>
      <c r="D1424" s="66"/>
      <c r="E1424" s="67"/>
      <c r="G1424" s="69"/>
    </row>
    <row r="1425" spans="1:7" s="68" customFormat="1" ht="15.6" x14ac:dyDescent="0.3">
      <c r="A1425" s="63"/>
      <c r="B1425" s="64"/>
      <c r="C1425" s="65"/>
      <c r="D1425" s="66"/>
      <c r="E1425" s="67"/>
      <c r="G1425" s="69"/>
    </row>
    <row r="1426" spans="1:7" s="68" customFormat="1" ht="15.6" x14ac:dyDescent="0.3">
      <c r="A1426" s="63"/>
      <c r="B1426" s="64"/>
      <c r="C1426" s="65"/>
      <c r="D1426" s="66"/>
      <c r="E1426" s="67"/>
      <c r="G1426" s="69"/>
    </row>
    <row r="1427" spans="1:7" s="68" customFormat="1" ht="15.6" x14ac:dyDescent="0.3">
      <c r="A1427" s="63"/>
      <c r="B1427" s="64"/>
      <c r="C1427" s="65"/>
      <c r="D1427" s="66"/>
      <c r="E1427" s="67"/>
      <c r="G1427" s="69"/>
    </row>
    <row r="1428" spans="1:7" s="68" customFormat="1" ht="15.6" x14ac:dyDescent="0.3">
      <c r="A1428" s="63"/>
      <c r="B1428" s="64"/>
      <c r="C1428" s="65"/>
      <c r="D1428" s="66"/>
      <c r="E1428" s="67"/>
      <c r="G1428" s="69"/>
    </row>
    <row r="1429" spans="1:7" s="68" customFormat="1" ht="15.6" x14ac:dyDescent="0.3">
      <c r="A1429" s="63"/>
      <c r="B1429" s="64"/>
      <c r="C1429" s="65"/>
      <c r="D1429" s="66"/>
      <c r="E1429" s="67"/>
      <c r="G1429" s="69"/>
    </row>
    <row r="1430" spans="1:7" s="68" customFormat="1" ht="15.6" x14ac:dyDescent="0.3">
      <c r="A1430" s="63"/>
      <c r="B1430" s="64"/>
      <c r="C1430" s="65"/>
      <c r="D1430" s="66"/>
      <c r="E1430" s="67"/>
      <c r="G1430" s="69"/>
    </row>
    <row r="1431" spans="1:7" s="68" customFormat="1" ht="15.6" x14ac:dyDescent="0.3">
      <c r="A1431" s="63"/>
      <c r="B1431" s="64"/>
      <c r="C1431" s="65"/>
      <c r="D1431" s="66"/>
      <c r="E1431" s="67"/>
      <c r="G1431" s="69"/>
    </row>
    <row r="1432" spans="1:7" s="68" customFormat="1" ht="15.6" x14ac:dyDescent="0.3">
      <c r="A1432" s="63"/>
      <c r="B1432" s="64"/>
      <c r="C1432" s="65"/>
      <c r="D1432" s="66"/>
      <c r="E1432" s="67"/>
      <c r="G1432" s="69"/>
    </row>
    <row r="1433" spans="1:7" s="68" customFormat="1" ht="15.6" x14ac:dyDescent="0.3">
      <c r="A1433" s="63"/>
      <c r="B1433" s="64"/>
      <c r="C1433" s="65"/>
      <c r="D1433" s="66"/>
      <c r="E1433" s="67"/>
      <c r="G1433" s="69"/>
    </row>
    <row r="1434" spans="1:7" s="68" customFormat="1" ht="15.6" x14ac:dyDescent="0.3">
      <c r="A1434" s="63"/>
      <c r="B1434" s="64"/>
      <c r="C1434" s="65"/>
      <c r="D1434" s="66"/>
      <c r="E1434" s="67"/>
      <c r="G1434" s="69"/>
    </row>
    <row r="1435" spans="1:7" s="68" customFormat="1" ht="15.6" x14ac:dyDescent="0.3">
      <c r="A1435" s="63"/>
      <c r="B1435" s="64"/>
      <c r="C1435" s="65"/>
      <c r="D1435" s="66"/>
      <c r="E1435" s="67"/>
      <c r="G1435" s="69"/>
    </row>
    <row r="1436" spans="1:7" s="68" customFormat="1" ht="15.6" x14ac:dyDescent="0.3">
      <c r="A1436" s="63"/>
      <c r="B1436" s="64"/>
      <c r="C1436" s="65"/>
      <c r="D1436" s="66"/>
      <c r="E1436" s="67"/>
      <c r="G1436" s="69"/>
    </row>
    <row r="1437" spans="1:7" s="68" customFormat="1" ht="15.6" x14ac:dyDescent="0.3">
      <c r="A1437" s="63"/>
      <c r="B1437" s="64"/>
      <c r="C1437" s="65"/>
      <c r="D1437" s="66"/>
      <c r="E1437" s="67"/>
      <c r="G1437" s="69"/>
    </row>
    <row r="1438" spans="1:7" s="68" customFormat="1" ht="15.6" x14ac:dyDescent="0.3">
      <c r="A1438" s="63"/>
      <c r="B1438" s="64"/>
      <c r="C1438" s="65"/>
      <c r="D1438" s="66"/>
      <c r="E1438" s="67"/>
      <c r="G1438" s="69"/>
    </row>
    <row r="1439" spans="1:7" s="68" customFormat="1" ht="15.6" x14ac:dyDescent="0.3">
      <c r="A1439" s="63"/>
      <c r="B1439" s="64"/>
      <c r="C1439" s="65"/>
      <c r="D1439" s="66"/>
      <c r="E1439" s="67"/>
      <c r="G1439" s="69"/>
    </row>
    <row r="1440" spans="1:7" s="68" customFormat="1" ht="15.6" x14ac:dyDescent="0.3">
      <c r="A1440" s="63"/>
      <c r="B1440" s="64"/>
      <c r="C1440" s="65"/>
      <c r="D1440" s="66"/>
      <c r="E1440" s="67"/>
      <c r="G1440" s="69"/>
    </row>
    <row r="1441" spans="1:7" s="68" customFormat="1" ht="15.6" x14ac:dyDescent="0.3">
      <c r="A1441" s="63"/>
      <c r="B1441" s="64"/>
      <c r="C1441" s="65"/>
      <c r="D1441" s="66"/>
      <c r="E1441" s="67"/>
      <c r="G1441" s="69"/>
    </row>
    <row r="1442" spans="1:7" s="68" customFormat="1" ht="15.6" x14ac:dyDescent="0.3">
      <c r="A1442" s="63"/>
      <c r="B1442" s="64"/>
      <c r="C1442" s="65"/>
      <c r="D1442" s="66"/>
      <c r="E1442" s="67"/>
      <c r="G1442" s="69"/>
    </row>
    <row r="1443" spans="1:7" s="68" customFormat="1" ht="15.6" x14ac:dyDescent="0.3">
      <c r="A1443" s="63"/>
      <c r="B1443" s="64"/>
      <c r="C1443" s="65"/>
      <c r="D1443" s="66"/>
      <c r="E1443" s="67"/>
      <c r="G1443" s="69"/>
    </row>
    <row r="1444" spans="1:7" s="68" customFormat="1" ht="15.6" x14ac:dyDescent="0.3">
      <c r="A1444" s="63"/>
      <c r="B1444" s="64"/>
      <c r="C1444" s="65"/>
      <c r="D1444" s="66"/>
      <c r="E1444" s="67"/>
      <c r="G1444" s="69"/>
    </row>
    <row r="1445" spans="1:7" s="68" customFormat="1" ht="15.6" x14ac:dyDescent="0.3">
      <c r="A1445" s="63"/>
      <c r="B1445" s="64"/>
      <c r="C1445" s="65"/>
      <c r="D1445" s="66"/>
      <c r="E1445" s="67"/>
      <c r="G1445" s="69"/>
    </row>
    <row r="1446" spans="1:7" s="68" customFormat="1" ht="15.6" x14ac:dyDescent="0.3">
      <c r="A1446" s="63"/>
      <c r="B1446" s="64"/>
      <c r="C1446" s="65"/>
      <c r="D1446" s="66"/>
      <c r="E1446" s="67"/>
      <c r="G1446" s="69"/>
    </row>
    <row r="1447" spans="1:7" s="68" customFormat="1" ht="15.6" x14ac:dyDescent="0.3">
      <c r="A1447" s="63"/>
      <c r="B1447" s="64"/>
      <c r="C1447" s="65"/>
      <c r="D1447" s="66"/>
      <c r="E1447" s="67"/>
      <c r="G1447" s="69"/>
    </row>
    <row r="1448" spans="1:7" s="68" customFormat="1" ht="15.6" x14ac:dyDescent="0.3">
      <c r="A1448" s="63"/>
      <c r="B1448" s="64"/>
      <c r="C1448" s="65"/>
      <c r="D1448" s="66"/>
      <c r="E1448" s="67"/>
      <c r="G1448" s="69"/>
    </row>
    <row r="1449" spans="1:7" s="68" customFormat="1" ht="15.6" x14ac:dyDescent="0.3">
      <c r="A1449" s="63"/>
      <c r="B1449" s="64"/>
      <c r="C1449" s="65"/>
      <c r="D1449" s="66"/>
      <c r="E1449" s="67"/>
      <c r="G1449" s="69"/>
    </row>
    <row r="1450" spans="1:7" s="68" customFormat="1" ht="15.6" x14ac:dyDescent="0.3">
      <c r="A1450" s="63"/>
      <c r="B1450" s="64"/>
      <c r="C1450" s="65"/>
      <c r="D1450" s="66"/>
      <c r="E1450" s="67"/>
      <c r="G1450" s="69"/>
    </row>
    <row r="1451" spans="1:7" s="68" customFormat="1" ht="15.6" x14ac:dyDescent="0.3">
      <c r="A1451" s="63"/>
      <c r="B1451" s="64"/>
      <c r="C1451" s="65"/>
      <c r="D1451" s="66"/>
      <c r="E1451" s="67"/>
      <c r="G1451" s="69"/>
    </row>
    <row r="1452" spans="1:7" s="68" customFormat="1" ht="15.6" x14ac:dyDescent="0.3">
      <c r="A1452" s="63"/>
      <c r="B1452" s="64"/>
      <c r="C1452" s="65"/>
      <c r="D1452" s="66"/>
      <c r="E1452" s="67"/>
      <c r="G1452" s="69"/>
    </row>
    <row r="1453" spans="1:7" s="68" customFormat="1" ht="15.6" x14ac:dyDescent="0.3">
      <c r="A1453" s="63"/>
      <c r="B1453" s="64"/>
      <c r="C1453" s="65"/>
      <c r="D1453" s="66"/>
      <c r="E1453" s="67"/>
      <c r="G1453" s="69"/>
    </row>
    <row r="1454" spans="1:7" s="68" customFormat="1" ht="15.6" x14ac:dyDescent="0.3">
      <c r="A1454" s="63"/>
      <c r="B1454" s="64"/>
      <c r="C1454" s="65"/>
      <c r="D1454" s="66"/>
      <c r="E1454" s="67"/>
      <c r="G1454" s="69"/>
    </row>
    <row r="1455" spans="1:7" s="68" customFormat="1" ht="15.6" x14ac:dyDescent="0.3">
      <c r="A1455" s="63"/>
      <c r="B1455" s="64"/>
      <c r="C1455" s="65"/>
      <c r="D1455" s="66"/>
      <c r="E1455" s="67"/>
      <c r="G1455" s="69"/>
    </row>
    <row r="1456" spans="1:7" s="68" customFormat="1" ht="15.6" x14ac:dyDescent="0.3">
      <c r="A1456" s="63"/>
      <c r="B1456" s="64"/>
      <c r="C1456" s="65"/>
      <c r="D1456" s="66"/>
      <c r="E1456" s="67"/>
      <c r="G1456" s="69"/>
    </row>
    <row r="1457" spans="1:7" s="68" customFormat="1" ht="15.6" x14ac:dyDescent="0.3">
      <c r="A1457" s="63"/>
      <c r="B1457" s="64"/>
      <c r="C1457" s="65"/>
      <c r="D1457" s="66"/>
      <c r="E1457" s="67"/>
      <c r="G1457" s="69"/>
    </row>
    <row r="1458" spans="1:7" s="68" customFormat="1" ht="15.6" x14ac:dyDescent="0.3">
      <c r="A1458" s="63"/>
      <c r="B1458" s="64"/>
      <c r="C1458" s="65"/>
      <c r="D1458" s="66"/>
      <c r="E1458" s="67"/>
      <c r="G1458" s="69"/>
    </row>
    <row r="1459" spans="1:7" s="68" customFormat="1" ht="15.6" x14ac:dyDescent="0.3">
      <c r="A1459" s="63"/>
      <c r="B1459" s="64"/>
      <c r="C1459" s="65"/>
      <c r="D1459" s="66"/>
      <c r="E1459" s="67"/>
      <c r="G1459" s="69"/>
    </row>
    <row r="1460" spans="1:7" s="68" customFormat="1" ht="15.6" x14ac:dyDescent="0.3">
      <c r="A1460" s="63"/>
      <c r="B1460" s="64"/>
      <c r="C1460" s="65"/>
      <c r="D1460" s="66"/>
      <c r="E1460" s="67"/>
      <c r="G1460" s="69"/>
    </row>
    <row r="1461" spans="1:7" s="68" customFormat="1" ht="15.6" x14ac:dyDescent="0.3">
      <c r="A1461" s="63"/>
      <c r="B1461" s="64"/>
      <c r="C1461" s="65"/>
      <c r="D1461" s="66"/>
      <c r="E1461" s="67"/>
      <c r="G1461" s="69"/>
    </row>
    <row r="1462" spans="1:7" s="68" customFormat="1" ht="15.6" x14ac:dyDescent="0.3">
      <c r="A1462" s="63"/>
      <c r="B1462" s="64"/>
      <c r="C1462" s="65"/>
      <c r="D1462" s="66"/>
      <c r="E1462" s="67"/>
      <c r="G1462" s="69"/>
    </row>
    <row r="1463" spans="1:7" s="68" customFormat="1" ht="15.6" x14ac:dyDescent="0.3">
      <c r="A1463" s="63"/>
      <c r="B1463" s="64"/>
      <c r="C1463" s="65"/>
      <c r="D1463" s="66"/>
      <c r="E1463" s="67"/>
      <c r="G1463" s="69"/>
    </row>
    <row r="1464" spans="1:7" s="68" customFormat="1" ht="15.6" x14ac:dyDescent="0.3">
      <c r="A1464" s="63"/>
      <c r="B1464" s="64"/>
      <c r="C1464" s="65"/>
      <c r="D1464" s="66"/>
      <c r="E1464" s="67"/>
      <c r="G1464" s="69"/>
    </row>
    <row r="1465" spans="1:7" s="68" customFormat="1" ht="15.6" x14ac:dyDescent="0.3">
      <c r="A1465" s="63"/>
      <c r="B1465" s="64"/>
      <c r="C1465" s="65"/>
      <c r="D1465" s="66"/>
      <c r="E1465" s="67"/>
      <c r="G1465" s="69"/>
    </row>
    <row r="1466" spans="1:7" s="68" customFormat="1" ht="15.6" x14ac:dyDescent="0.3">
      <c r="A1466" s="63"/>
      <c r="B1466" s="64"/>
      <c r="C1466" s="65"/>
      <c r="D1466" s="66"/>
      <c r="E1466" s="67"/>
      <c r="G1466" s="69"/>
    </row>
    <row r="1467" spans="1:7" s="68" customFormat="1" ht="15.6" x14ac:dyDescent="0.3">
      <c r="A1467" s="63"/>
      <c r="B1467" s="64"/>
      <c r="C1467" s="65"/>
      <c r="D1467" s="66"/>
      <c r="E1467" s="67"/>
      <c r="G1467" s="69"/>
    </row>
    <row r="1468" spans="1:7" s="68" customFormat="1" ht="15.6" x14ac:dyDescent="0.3">
      <c r="A1468" s="63"/>
      <c r="B1468" s="64"/>
      <c r="C1468" s="65"/>
      <c r="D1468" s="66"/>
      <c r="E1468" s="67"/>
      <c r="G1468" s="69"/>
    </row>
    <row r="1469" spans="1:7" s="68" customFormat="1" ht="15.6" x14ac:dyDescent="0.3">
      <c r="A1469" s="63"/>
      <c r="B1469" s="64"/>
      <c r="C1469" s="65"/>
      <c r="D1469" s="66"/>
      <c r="E1469" s="67"/>
      <c r="G1469" s="69"/>
    </row>
    <row r="1470" spans="1:7" s="68" customFormat="1" ht="15.6" x14ac:dyDescent="0.3">
      <c r="A1470" s="63"/>
      <c r="B1470" s="64"/>
      <c r="C1470" s="65"/>
      <c r="D1470" s="66"/>
      <c r="E1470" s="67"/>
      <c r="G1470" s="69"/>
    </row>
    <row r="1471" spans="1:7" s="68" customFormat="1" ht="15.6" x14ac:dyDescent="0.3">
      <c r="A1471" s="63"/>
      <c r="B1471" s="64"/>
      <c r="C1471" s="65"/>
      <c r="D1471" s="66"/>
      <c r="E1471" s="67"/>
      <c r="G1471" s="69"/>
    </row>
    <row r="1472" spans="1:7" s="68" customFormat="1" ht="15.6" x14ac:dyDescent="0.3">
      <c r="A1472" s="63"/>
      <c r="B1472" s="64"/>
      <c r="C1472" s="65"/>
      <c r="D1472" s="66"/>
      <c r="E1472" s="67"/>
      <c r="G1472" s="69"/>
    </row>
    <row r="1473" spans="1:7" s="68" customFormat="1" ht="15.6" x14ac:dyDescent="0.3">
      <c r="A1473" s="63"/>
      <c r="B1473" s="64"/>
      <c r="C1473" s="65"/>
      <c r="D1473" s="66"/>
      <c r="E1473" s="67"/>
      <c r="G1473" s="69"/>
    </row>
    <row r="1474" spans="1:7" s="68" customFormat="1" ht="15.6" x14ac:dyDescent="0.3">
      <c r="A1474" s="63"/>
      <c r="B1474" s="64"/>
      <c r="C1474" s="65"/>
      <c r="D1474" s="66"/>
      <c r="E1474" s="67"/>
      <c r="G1474" s="69"/>
    </row>
    <row r="1475" spans="1:7" s="68" customFormat="1" ht="15.6" x14ac:dyDescent="0.3">
      <c r="A1475" s="63"/>
      <c r="B1475" s="64"/>
      <c r="C1475" s="65"/>
      <c r="D1475" s="66"/>
      <c r="E1475" s="67"/>
      <c r="G1475" s="69"/>
    </row>
    <row r="1476" spans="1:7" s="68" customFormat="1" ht="15.6" x14ac:dyDescent="0.3">
      <c r="A1476" s="63"/>
      <c r="B1476" s="64"/>
      <c r="C1476" s="65"/>
      <c r="D1476" s="66"/>
      <c r="E1476" s="67"/>
      <c r="G1476" s="69"/>
    </row>
    <row r="1477" spans="1:7" s="68" customFormat="1" ht="15.6" x14ac:dyDescent="0.3">
      <c r="A1477" s="63"/>
      <c r="B1477" s="64"/>
      <c r="C1477" s="65"/>
      <c r="D1477" s="66"/>
      <c r="E1477" s="67"/>
      <c r="G1477" s="69"/>
    </row>
    <row r="1478" spans="1:7" s="68" customFormat="1" ht="15.6" x14ac:dyDescent="0.3">
      <c r="A1478" s="63"/>
      <c r="B1478" s="64"/>
      <c r="C1478" s="65"/>
      <c r="D1478" s="66"/>
      <c r="E1478" s="67"/>
      <c r="G1478" s="69"/>
    </row>
    <row r="1479" spans="1:7" s="68" customFormat="1" ht="15.6" x14ac:dyDescent="0.3">
      <c r="A1479" s="63"/>
      <c r="B1479" s="64"/>
      <c r="C1479" s="65"/>
      <c r="D1479" s="66"/>
      <c r="E1479" s="67"/>
      <c r="G1479" s="69"/>
    </row>
    <row r="1480" spans="1:7" s="68" customFormat="1" ht="15.6" x14ac:dyDescent="0.3">
      <c r="A1480" s="63"/>
      <c r="B1480" s="64"/>
      <c r="C1480" s="65"/>
      <c r="D1480" s="66"/>
      <c r="E1480" s="67"/>
      <c r="G1480" s="69"/>
    </row>
    <row r="1481" spans="1:7" s="68" customFormat="1" ht="15.6" x14ac:dyDescent="0.3">
      <c r="A1481" s="63"/>
      <c r="B1481" s="64"/>
      <c r="C1481" s="65"/>
      <c r="D1481" s="66"/>
      <c r="E1481" s="67"/>
      <c r="G1481" s="69"/>
    </row>
    <row r="1482" spans="1:7" s="68" customFormat="1" ht="15.6" x14ac:dyDescent="0.3">
      <c r="A1482" s="63"/>
      <c r="B1482" s="64"/>
      <c r="C1482" s="65"/>
      <c r="D1482" s="66"/>
      <c r="E1482" s="67"/>
      <c r="G1482" s="69"/>
    </row>
    <row r="1483" spans="1:7" s="68" customFormat="1" ht="15.6" x14ac:dyDescent="0.3">
      <c r="A1483" s="63"/>
      <c r="B1483" s="64"/>
      <c r="C1483" s="65"/>
      <c r="D1483" s="66"/>
      <c r="E1483" s="67"/>
      <c r="G1483" s="69"/>
    </row>
    <row r="1484" spans="1:7" s="68" customFormat="1" ht="15.6" x14ac:dyDescent="0.3">
      <c r="A1484" s="63"/>
      <c r="B1484" s="64"/>
      <c r="C1484" s="65"/>
      <c r="D1484" s="66"/>
      <c r="E1484" s="67"/>
      <c r="G1484" s="69"/>
    </row>
    <row r="1485" spans="1:7" s="68" customFormat="1" ht="15.6" x14ac:dyDescent="0.3">
      <c r="A1485" s="63"/>
      <c r="B1485" s="64"/>
      <c r="C1485" s="65"/>
      <c r="D1485" s="66"/>
      <c r="E1485" s="67"/>
      <c r="G1485" s="69"/>
    </row>
    <row r="1486" spans="1:7" s="68" customFormat="1" ht="15.6" x14ac:dyDescent="0.3">
      <c r="A1486" s="63"/>
      <c r="B1486" s="64"/>
      <c r="C1486" s="65"/>
      <c r="D1486" s="66"/>
      <c r="E1486" s="67"/>
      <c r="G1486" s="69"/>
    </row>
    <row r="1487" spans="1:7" s="68" customFormat="1" ht="15.6" x14ac:dyDescent="0.3">
      <c r="A1487" s="63"/>
      <c r="B1487" s="64"/>
      <c r="C1487" s="65"/>
      <c r="D1487" s="66"/>
      <c r="E1487" s="67"/>
      <c r="G1487" s="69"/>
    </row>
    <row r="1488" spans="1:7" s="68" customFormat="1" ht="15.6" x14ac:dyDescent="0.3">
      <c r="A1488" s="63"/>
      <c r="B1488" s="64"/>
      <c r="C1488" s="65"/>
      <c r="D1488" s="66"/>
      <c r="E1488" s="67"/>
      <c r="G1488" s="69"/>
    </row>
    <row r="1489" spans="1:7" s="68" customFormat="1" ht="15.6" x14ac:dyDescent="0.3">
      <c r="A1489" s="63"/>
      <c r="B1489" s="64"/>
      <c r="C1489" s="65"/>
      <c r="D1489" s="66"/>
      <c r="E1489" s="67"/>
      <c r="G1489" s="69"/>
    </row>
    <row r="1490" spans="1:7" s="68" customFormat="1" ht="15.6" x14ac:dyDescent="0.3">
      <c r="A1490" s="63"/>
      <c r="B1490" s="64"/>
      <c r="C1490" s="65"/>
      <c r="D1490" s="66"/>
      <c r="E1490" s="67"/>
      <c r="G1490" s="69"/>
    </row>
    <row r="1491" spans="1:7" s="68" customFormat="1" ht="15.6" x14ac:dyDescent="0.3">
      <c r="A1491" s="63"/>
      <c r="B1491" s="64"/>
      <c r="C1491" s="65"/>
      <c r="D1491" s="66"/>
      <c r="E1491" s="67"/>
      <c r="G1491" s="69"/>
    </row>
    <row r="1492" spans="1:7" s="68" customFormat="1" ht="15.6" x14ac:dyDescent="0.3">
      <c r="A1492" s="63"/>
      <c r="B1492" s="64"/>
      <c r="C1492" s="65"/>
      <c r="D1492" s="66"/>
      <c r="E1492" s="67"/>
      <c r="G1492" s="69"/>
    </row>
    <row r="1493" spans="1:7" s="68" customFormat="1" ht="15.6" x14ac:dyDescent="0.3">
      <c r="A1493" s="63"/>
      <c r="B1493" s="64"/>
      <c r="C1493" s="65"/>
      <c r="D1493" s="66"/>
      <c r="E1493" s="67"/>
      <c r="G1493" s="69"/>
    </row>
    <row r="1494" spans="1:7" s="68" customFormat="1" ht="15.6" x14ac:dyDescent="0.3">
      <c r="A1494" s="63"/>
      <c r="B1494" s="64"/>
      <c r="C1494" s="65"/>
      <c r="D1494" s="66"/>
      <c r="E1494" s="67"/>
      <c r="G1494" s="69"/>
    </row>
    <row r="1495" spans="1:7" s="68" customFormat="1" ht="15.6" x14ac:dyDescent="0.3">
      <c r="A1495" s="63"/>
      <c r="B1495" s="64"/>
      <c r="C1495" s="65"/>
      <c r="D1495" s="66"/>
      <c r="E1495" s="67"/>
      <c r="G1495" s="69"/>
    </row>
    <row r="1496" spans="1:7" s="68" customFormat="1" ht="15.6" x14ac:dyDescent="0.3">
      <c r="A1496" s="63"/>
      <c r="B1496" s="64"/>
      <c r="C1496" s="65"/>
      <c r="D1496" s="66"/>
      <c r="E1496" s="67"/>
      <c r="G1496" s="69"/>
    </row>
    <row r="1497" spans="1:7" s="68" customFormat="1" ht="15.6" x14ac:dyDescent="0.3">
      <c r="A1497" s="63"/>
      <c r="B1497" s="64"/>
      <c r="C1497" s="65"/>
      <c r="D1497" s="66"/>
      <c r="E1497" s="67"/>
      <c r="G1497" s="69"/>
    </row>
    <row r="1498" spans="1:7" s="68" customFormat="1" ht="15.6" x14ac:dyDescent="0.3">
      <c r="A1498" s="63"/>
      <c r="B1498" s="64"/>
      <c r="C1498" s="65"/>
      <c r="D1498" s="66"/>
      <c r="E1498" s="67"/>
      <c r="G1498" s="69"/>
    </row>
    <row r="1499" spans="1:7" s="68" customFormat="1" ht="15.6" x14ac:dyDescent="0.3">
      <c r="A1499" s="63"/>
      <c r="B1499" s="64"/>
      <c r="C1499" s="65"/>
      <c r="D1499" s="66"/>
      <c r="E1499" s="67"/>
      <c r="G1499" s="69"/>
    </row>
    <row r="1500" spans="1:7" s="68" customFormat="1" ht="15.6" x14ac:dyDescent="0.3">
      <c r="A1500" s="63"/>
      <c r="B1500" s="64"/>
      <c r="C1500" s="65"/>
      <c r="D1500" s="66"/>
      <c r="E1500" s="67"/>
      <c r="G1500" s="69"/>
    </row>
    <row r="1501" spans="1:7" s="68" customFormat="1" ht="15.6" x14ac:dyDescent="0.3">
      <c r="A1501" s="63"/>
      <c r="B1501" s="64"/>
      <c r="C1501" s="65"/>
      <c r="D1501" s="66"/>
      <c r="E1501" s="67"/>
      <c r="G1501" s="69"/>
    </row>
    <row r="1502" spans="1:7" s="68" customFormat="1" ht="15.6" x14ac:dyDescent="0.3">
      <c r="A1502" s="63"/>
      <c r="B1502" s="64"/>
      <c r="C1502" s="65"/>
      <c r="D1502" s="66"/>
      <c r="E1502" s="67"/>
      <c r="G1502" s="69"/>
    </row>
    <row r="1503" spans="1:7" s="68" customFormat="1" ht="15.6" x14ac:dyDescent="0.3">
      <c r="A1503" s="63"/>
      <c r="B1503" s="64"/>
      <c r="C1503" s="65"/>
      <c r="D1503" s="66"/>
      <c r="E1503" s="67"/>
      <c r="G1503" s="69"/>
    </row>
    <row r="1504" spans="1:7" s="68" customFormat="1" ht="15.6" x14ac:dyDescent="0.3">
      <c r="A1504" s="63"/>
      <c r="B1504" s="64"/>
      <c r="C1504" s="65"/>
      <c r="D1504" s="66"/>
      <c r="E1504" s="67"/>
      <c r="G1504" s="69"/>
    </row>
    <row r="1505" spans="1:7" s="68" customFormat="1" ht="15.6" x14ac:dyDescent="0.3">
      <c r="A1505" s="63"/>
      <c r="B1505" s="64"/>
      <c r="C1505" s="65"/>
      <c r="D1505" s="66"/>
      <c r="E1505" s="67"/>
      <c r="G1505" s="69"/>
    </row>
    <row r="1506" spans="1:7" s="68" customFormat="1" ht="15.6" x14ac:dyDescent="0.3">
      <c r="A1506" s="63"/>
      <c r="B1506" s="64"/>
      <c r="C1506" s="65"/>
      <c r="D1506" s="66"/>
      <c r="E1506" s="67"/>
      <c r="G1506" s="69"/>
    </row>
    <row r="1507" spans="1:7" s="68" customFormat="1" ht="15.6" x14ac:dyDescent="0.3">
      <c r="A1507" s="63"/>
      <c r="B1507" s="64"/>
      <c r="C1507" s="65"/>
      <c r="D1507" s="66"/>
      <c r="E1507" s="67"/>
      <c r="G1507" s="69"/>
    </row>
    <row r="1508" spans="1:7" s="68" customFormat="1" ht="15.6" x14ac:dyDescent="0.3">
      <c r="A1508" s="63"/>
      <c r="B1508" s="64"/>
      <c r="C1508" s="65"/>
      <c r="D1508" s="66"/>
      <c r="E1508" s="67"/>
      <c r="G1508" s="69"/>
    </row>
    <row r="1509" spans="1:7" s="68" customFormat="1" ht="15.6" x14ac:dyDescent="0.3">
      <c r="A1509" s="63"/>
      <c r="B1509" s="64"/>
      <c r="C1509" s="65"/>
      <c r="D1509" s="66"/>
      <c r="E1509" s="67"/>
      <c r="G1509" s="69"/>
    </row>
    <row r="1510" spans="1:7" s="68" customFormat="1" ht="15.6" x14ac:dyDescent="0.3">
      <c r="A1510" s="63"/>
      <c r="B1510" s="64"/>
      <c r="C1510" s="65"/>
      <c r="D1510" s="66"/>
      <c r="E1510" s="67"/>
      <c r="G1510" s="69"/>
    </row>
    <row r="1511" spans="1:7" s="68" customFormat="1" ht="15.6" x14ac:dyDescent="0.3">
      <c r="A1511" s="63"/>
      <c r="B1511" s="64"/>
      <c r="C1511" s="65"/>
      <c r="D1511" s="66"/>
      <c r="E1511" s="67"/>
      <c r="G1511" s="69"/>
    </row>
    <row r="1512" spans="1:7" s="68" customFormat="1" ht="15.6" x14ac:dyDescent="0.3">
      <c r="A1512" s="63"/>
      <c r="B1512" s="64"/>
      <c r="C1512" s="65"/>
      <c r="D1512" s="66"/>
      <c r="E1512" s="67"/>
      <c r="G1512" s="69"/>
    </row>
    <row r="1513" spans="1:7" s="68" customFormat="1" ht="15.6" x14ac:dyDescent="0.3">
      <c r="A1513" s="63"/>
      <c r="B1513" s="64"/>
      <c r="C1513" s="65"/>
      <c r="D1513" s="66"/>
      <c r="E1513" s="67"/>
      <c r="G1513" s="69"/>
    </row>
    <row r="1514" spans="1:7" s="68" customFormat="1" ht="15.6" x14ac:dyDescent="0.3">
      <c r="A1514" s="63"/>
      <c r="B1514" s="64"/>
      <c r="C1514" s="65"/>
      <c r="D1514" s="66"/>
      <c r="E1514" s="67"/>
      <c r="G1514" s="69"/>
    </row>
    <row r="1515" spans="1:7" s="68" customFormat="1" ht="15.6" x14ac:dyDescent="0.3">
      <c r="A1515" s="63"/>
      <c r="B1515" s="64"/>
      <c r="C1515" s="65"/>
      <c r="D1515" s="66"/>
      <c r="E1515" s="67"/>
      <c r="G1515" s="69"/>
    </row>
    <row r="1516" spans="1:7" s="68" customFormat="1" ht="15.6" x14ac:dyDescent="0.3">
      <c r="A1516" s="63"/>
      <c r="B1516" s="64"/>
      <c r="C1516" s="65"/>
      <c r="D1516" s="66"/>
      <c r="E1516" s="67"/>
      <c r="G1516" s="69"/>
    </row>
    <row r="1517" spans="1:7" s="68" customFormat="1" ht="15.6" x14ac:dyDescent="0.3">
      <c r="A1517" s="63"/>
      <c r="B1517" s="64"/>
      <c r="C1517" s="65"/>
      <c r="D1517" s="66"/>
      <c r="E1517" s="67"/>
      <c r="G1517" s="69"/>
    </row>
    <row r="1518" spans="1:7" s="68" customFormat="1" ht="15.6" x14ac:dyDescent="0.3">
      <c r="A1518" s="63"/>
      <c r="B1518" s="64"/>
      <c r="C1518" s="65"/>
      <c r="D1518" s="66"/>
      <c r="E1518" s="67"/>
      <c r="G1518" s="69"/>
    </row>
    <row r="1519" spans="1:7" s="68" customFormat="1" ht="15.6" x14ac:dyDescent="0.3">
      <c r="A1519" s="63"/>
      <c r="B1519" s="64"/>
      <c r="C1519" s="65"/>
      <c r="D1519" s="66"/>
      <c r="E1519" s="67"/>
      <c r="G1519" s="69"/>
    </row>
    <row r="1520" spans="1:7" s="68" customFormat="1" ht="15.6" x14ac:dyDescent="0.3">
      <c r="A1520" s="63"/>
      <c r="B1520" s="64"/>
      <c r="C1520" s="65"/>
      <c r="D1520" s="66"/>
      <c r="E1520" s="67"/>
      <c r="G1520" s="69"/>
    </row>
    <row r="1521" spans="1:7" s="68" customFormat="1" ht="15.6" x14ac:dyDescent="0.3">
      <c r="A1521" s="63"/>
      <c r="B1521" s="64"/>
      <c r="C1521" s="65"/>
      <c r="D1521" s="66"/>
      <c r="E1521" s="67"/>
      <c r="G1521" s="69"/>
    </row>
    <row r="1522" spans="1:7" s="68" customFormat="1" ht="15.6" x14ac:dyDescent="0.3">
      <c r="A1522" s="63"/>
      <c r="B1522" s="64"/>
      <c r="C1522" s="65"/>
      <c r="D1522" s="66"/>
      <c r="E1522" s="67"/>
      <c r="G1522" s="69"/>
    </row>
    <row r="1523" spans="1:7" s="68" customFormat="1" ht="15.6" x14ac:dyDescent="0.3">
      <c r="A1523" s="63"/>
      <c r="B1523" s="64"/>
      <c r="C1523" s="65"/>
      <c r="D1523" s="66"/>
      <c r="E1523" s="67"/>
      <c r="G1523" s="69"/>
    </row>
    <row r="1524" spans="1:7" s="68" customFormat="1" ht="15.6" x14ac:dyDescent="0.3">
      <c r="A1524" s="63"/>
      <c r="B1524" s="64"/>
      <c r="C1524" s="65"/>
      <c r="D1524" s="66"/>
      <c r="E1524" s="67"/>
      <c r="G1524" s="69"/>
    </row>
    <row r="1525" spans="1:7" s="68" customFormat="1" ht="15.6" x14ac:dyDescent="0.3">
      <c r="A1525" s="63"/>
      <c r="B1525" s="64"/>
      <c r="C1525" s="65"/>
      <c r="D1525" s="66"/>
      <c r="E1525" s="67"/>
      <c r="G1525" s="69"/>
    </row>
    <row r="1526" spans="1:7" s="68" customFormat="1" ht="15.6" x14ac:dyDescent="0.3">
      <c r="A1526" s="63"/>
      <c r="B1526" s="64"/>
      <c r="C1526" s="65"/>
      <c r="D1526" s="66"/>
      <c r="E1526" s="67"/>
      <c r="G1526" s="69"/>
    </row>
    <row r="1527" spans="1:7" s="68" customFormat="1" ht="15.6" x14ac:dyDescent="0.3">
      <c r="A1527" s="63"/>
      <c r="B1527" s="64"/>
      <c r="C1527" s="65"/>
      <c r="D1527" s="66"/>
      <c r="E1527" s="67"/>
      <c r="G1527" s="69"/>
    </row>
    <row r="1528" spans="1:7" s="68" customFormat="1" ht="15.6" x14ac:dyDescent="0.3">
      <c r="A1528" s="63"/>
      <c r="B1528" s="64"/>
      <c r="C1528" s="65"/>
      <c r="D1528" s="66"/>
      <c r="E1528" s="67"/>
      <c r="G1528" s="69"/>
    </row>
    <row r="1529" spans="1:7" s="68" customFormat="1" ht="15.6" x14ac:dyDescent="0.3">
      <c r="A1529" s="63"/>
      <c r="B1529" s="64"/>
      <c r="C1529" s="65"/>
      <c r="D1529" s="66"/>
      <c r="E1529" s="67"/>
      <c r="G1529" s="69"/>
    </row>
    <row r="1530" spans="1:7" s="68" customFormat="1" ht="15.6" x14ac:dyDescent="0.3">
      <c r="A1530" s="63"/>
      <c r="B1530" s="64"/>
      <c r="C1530" s="65"/>
      <c r="D1530" s="66"/>
      <c r="E1530" s="67"/>
      <c r="G1530" s="69"/>
    </row>
    <row r="1531" spans="1:7" s="68" customFormat="1" ht="15.6" x14ac:dyDescent="0.3">
      <c r="A1531" s="63"/>
      <c r="B1531" s="64"/>
      <c r="C1531" s="65"/>
      <c r="D1531" s="66"/>
      <c r="E1531" s="67"/>
      <c r="G1531" s="69"/>
    </row>
    <row r="1532" spans="1:7" s="68" customFormat="1" ht="15.6" x14ac:dyDescent="0.3">
      <c r="A1532" s="63"/>
      <c r="B1532" s="64"/>
      <c r="C1532" s="65"/>
      <c r="D1532" s="66"/>
      <c r="E1532" s="67"/>
      <c r="G1532" s="69"/>
    </row>
    <row r="1533" spans="1:7" s="68" customFormat="1" ht="15.6" x14ac:dyDescent="0.3">
      <c r="A1533" s="63"/>
      <c r="B1533" s="64"/>
      <c r="C1533" s="65"/>
      <c r="D1533" s="66"/>
      <c r="E1533" s="67"/>
      <c r="G1533" s="69"/>
    </row>
    <row r="1534" spans="1:7" s="68" customFormat="1" ht="15.6" x14ac:dyDescent="0.3">
      <c r="A1534" s="63"/>
      <c r="B1534" s="64"/>
      <c r="C1534" s="65"/>
      <c r="D1534" s="66"/>
      <c r="E1534" s="67"/>
      <c r="G1534" s="69"/>
    </row>
    <row r="1535" spans="1:7" s="68" customFormat="1" ht="15.6" x14ac:dyDescent="0.3">
      <c r="A1535" s="63"/>
      <c r="B1535" s="64"/>
      <c r="C1535" s="65"/>
      <c r="D1535" s="66"/>
      <c r="E1535" s="67"/>
      <c r="G1535" s="69"/>
    </row>
    <row r="1536" spans="1:7" s="68" customFormat="1" ht="15.6" x14ac:dyDescent="0.3">
      <c r="A1536" s="63"/>
      <c r="B1536" s="64"/>
      <c r="C1536" s="65"/>
      <c r="D1536" s="66"/>
      <c r="E1536" s="67"/>
      <c r="G1536" s="69"/>
    </row>
    <row r="1537" spans="1:7" s="68" customFormat="1" ht="15.6" x14ac:dyDescent="0.3">
      <c r="A1537" s="63"/>
      <c r="B1537" s="64"/>
      <c r="C1537" s="65"/>
      <c r="D1537" s="66"/>
      <c r="E1537" s="67"/>
      <c r="G1537" s="69"/>
    </row>
    <row r="1538" spans="1:7" s="68" customFormat="1" ht="15.6" x14ac:dyDescent="0.3">
      <c r="A1538" s="63"/>
      <c r="B1538" s="64"/>
      <c r="C1538" s="65"/>
      <c r="D1538" s="66"/>
      <c r="E1538" s="67"/>
      <c r="G1538" s="69"/>
    </row>
    <row r="1539" spans="1:7" s="68" customFormat="1" ht="15.6" x14ac:dyDescent="0.3">
      <c r="A1539" s="63"/>
      <c r="B1539" s="64"/>
      <c r="C1539" s="65"/>
      <c r="D1539" s="66"/>
      <c r="E1539" s="67"/>
      <c r="G1539" s="69"/>
    </row>
    <row r="1540" spans="1:7" s="68" customFormat="1" ht="15.6" x14ac:dyDescent="0.3">
      <c r="A1540" s="63"/>
      <c r="B1540" s="64"/>
      <c r="C1540" s="65"/>
      <c r="D1540" s="66"/>
      <c r="E1540" s="67"/>
      <c r="G1540" s="69"/>
    </row>
    <row r="1541" spans="1:7" s="68" customFormat="1" ht="15.6" x14ac:dyDescent="0.3">
      <c r="A1541" s="63"/>
      <c r="B1541" s="64"/>
      <c r="C1541" s="65"/>
      <c r="D1541" s="66"/>
      <c r="E1541" s="67"/>
      <c r="G1541" s="69"/>
    </row>
    <row r="1542" spans="1:7" s="68" customFormat="1" ht="15.6" x14ac:dyDescent="0.3">
      <c r="A1542" s="63"/>
      <c r="B1542" s="64"/>
      <c r="C1542" s="65"/>
      <c r="D1542" s="66"/>
      <c r="E1542" s="67"/>
      <c r="G1542" s="69"/>
    </row>
    <row r="1543" spans="1:7" s="68" customFormat="1" ht="15.6" x14ac:dyDescent="0.3">
      <c r="A1543" s="63"/>
      <c r="B1543" s="64"/>
      <c r="C1543" s="65"/>
      <c r="D1543" s="66"/>
      <c r="E1543" s="67"/>
      <c r="G1543" s="69"/>
    </row>
    <row r="1544" spans="1:7" s="68" customFormat="1" ht="15.6" x14ac:dyDescent="0.3">
      <c r="A1544" s="63"/>
      <c r="B1544" s="64"/>
      <c r="C1544" s="65"/>
      <c r="D1544" s="66"/>
      <c r="E1544" s="67"/>
      <c r="G1544" s="69"/>
    </row>
    <row r="1545" spans="1:7" s="68" customFormat="1" ht="15.6" x14ac:dyDescent="0.3">
      <c r="A1545" s="63"/>
      <c r="B1545" s="64"/>
      <c r="C1545" s="65"/>
      <c r="D1545" s="66"/>
      <c r="E1545" s="67"/>
      <c r="G1545" s="69"/>
    </row>
    <row r="1546" spans="1:7" s="68" customFormat="1" ht="15.6" x14ac:dyDescent="0.3">
      <c r="A1546" s="63"/>
      <c r="B1546" s="64"/>
      <c r="C1546" s="65"/>
      <c r="D1546" s="66"/>
      <c r="E1546" s="67"/>
      <c r="G1546" s="69"/>
    </row>
    <row r="1547" spans="1:7" s="68" customFormat="1" ht="15.6" x14ac:dyDescent="0.3">
      <c r="A1547" s="63"/>
      <c r="B1547" s="64"/>
      <c r="C1547" s="65"/>
      <c r="D1547" s="66"/>
      <c r="E1547" s="67"/>
      <c r="G1547" s="69"/>
    </row>
    <row r="1548" spans="1:7" s="68" customFormat="1" ht="15.6" x14ac:dyDescent="0.3">
      <c r="A1548" s="63"/>
      <c r="B1548" s="64"/>
      <c r="C1548" s="65"/>
      <c r="D1548" s="66"/>
      <c r="E1548" s="67"/>
      <c r="G1548" s="69"/>
    </row>
    <row r="1549" spans="1:7" s="68" customFormat="1" ht="15.6" x14ac:dyDescent="0.3">
      <c r="A1549" s="63"/>
      <c r="B1549" s="64"/>
      <c r="C1549" s="65"/>
      <c r="D1549" s="66"/>
      <c r="E1549" s="67"/>
      <c r="G1549" s="69"/>
    </row>
    <row r="1550" spans="1:7" s="68" customFormat="1" ht="15.6" x14ac:dyDescent="0.3">
      <c r="A1550" s="63"/>
      <c r="B1550" s="64"/>
      <c r="C1550" s="65"/>
      <c r="D1550" s="66"/>
      <c r="E1550" s="67"/>
      <c r="G1550" s="69"/>
    </row>
    <row r="1551" spans="1:7" s="68" customFormat="1" ht="15.6" x14ac:dyDescent="0.3">
      <c r="A1551" s="63"/>
      <c r="B1551" s="64"/>
      <c r="C1551" s="65"/>
      <c r="D1551" s="66"/>
      <c r="E1551" s="67"/>
      <c r="G1551" s="69"/>
    </row>
    <row r="1552" spans="1:7" s="68" customFormat="1" ht="15.6" x14ac:dyDescent="0.3">
      <c r="A1552" s="63"/>
      <c r="B1552" s="64"/>
      <c r="C1552" s="65"/>
      <c r="D1552" s="66"/>
      <c r="E1552" s="67"/>
      <c r="G1552" s="69"/>
    </row>
    <row r="1553" spans="1:7" s="68" customFormat="1" ht="15.6" x14ac:dyDescent="0.3">
      <c r="A1553" s="63"/>
      <c r="B1553" s="64"/>
      <c r="C1553" s="65"/>
      <c r="D1553" s="66"/>
      <c r="E1553" s="67"/>
      <c r="G1553" s="69"/>
    </row>
    <row r="1554" spans="1:7" s="68" customFormat="1" ht="15.6" x14ac:dyDescent="0.3">
      <c r="A1554" s="63"/>
      <c r="B1554" s="64"/>
      <c r="C1554" s="65"/>
      <c r="D1554" s="66"/>
      <c r="E1554" s="67"/>
      <c r="G1554" s="69"/>
    </row>
    <row r="1555" spans="1:7" s="68" customFormat="1" ht="15.6" x14ac:dyDescent="0.3">
      <c r="A1555" s="63"/>
      <c r="B1555" s="64"/>
      <c r="C1555" s="65"/>
      <c r="D1555" s="66"/>
      <c r="E1555" s="67"/>
      <c r="G1555" s="69"/>
    </row>
    <row r="1556" spans="1:7" s="68" customFormat="1" ht="15.6" x14ac:dyDescent="0.3">
      <c r="A1556" s="63"/>
      <c r="B1556" s="64"/>
      <c r="C1556" s="65"/>
      <c r="D1556" s="66"/>
      <c r="E1556" s="67"/>
      <c r="G1556" s="69"/>
    </row>
    <row r="1557" spans="1:7" s="68" customFormat="1" ht="15.6" x14ac:dyDescent="0.3">
      <c r="A1557" s="63"/>
      <c r="B1557" s="64"/>
      <c r="C1557" s="65"/>
      <c r="D1557" s="66"/>
      <c r="E1557" s="67"/>
      <c r="G1557" s="69"/>
    </row>
    <row r="1558" spans="1:7" s="68" customFormat="1" ht="15.6" x14ac:dyDescent="0.3">
      <c r="A1558" s="63"/>
      <c r="B1558" s="64"/>
      <c r="C1558" s="65"/>
      <c r="D1558" s="66"/>
      <c r="E1558" s="67"/>
      <c r="G1558" s="69"/>
    </row>
    <row r="1559" spans="1:7" s="68" customFormat="1" ht="15.6" x14ac:dyDescent="0.3">
      <c r="A1559" s="63"/>
      <c r="B1559" s="64"/>
      <c r="C1559" s="65"/>
      <c r="D1559" s="66"/>
      <c r="E1559" s="67"/>
      <c r="G1559" s="69"/>
    </row>
    <row r="1560" spans="1:7" s="68" customFormat="1" ht="15.6" x14ac:dyDescent="0.3">
      <c r="A1560" s="63"/>
      <c r="B1560" s="64"/>
      <c r="C1560" s="65"/>
      <c r="D1560" s="66"/>
      <c r="E1560" s="67"/>
      <c r="G1560" s="69"/>
    </row>
    <row r="1561" spans="1:7" s="68" customFormat="1" ht="15.6" x14ac:dyDescent="0.3">
      <c r="A1561" s="63"/>
      <c r="B1561" s="64"/>
      <c r="C1561" s="65"/>
      <c r="D1561" s="66"/>
      <c r="E1561" s="67"/>
      <c r="G1561" s="69"/>
    </row>
    <row r="1562" spans="1:7" s="68" customFormat="1" ht="15.6" x14ac:dyDescent="0.3">
      <c r="A1562" s="63"/>
      <c r="B1562" s="64"/>
      <c r="C1562" s="65"/>
      <c r="D1562" s="66"/>
      <c r="E1562" s="67"/>
      <c r="G1562" s="69"/>
    </row>
    <row r="1563" spans="1:7" s="68" customFormat="1" ht="15.6" x14ac:dyDescent="0.3">
      <c r="A1563" s="63"/>
      <c r="B1563" s="64"/>
      <c r="C1563" s="65"/>
      <c r="D1563" s="66"/>
      <c r="E1563" s="67"/>
      <c r="G1563" s="69"/>
    </row>
    <row r="1564" spans="1:7" s="68" customFormat="1" ht="15.6" x14ac:dyDescent="0.3">
      <c r="A1564" s="63"/>
      <c r="B1564" s="64"/>
      <c r="C1564" s="65"/>
      <c r="D1564" s="66"/>
      <c r="E1564" s="67"/>
      <c r="G1564" s="69"/>
    </row>
    <row r="1565" spans="1:7" s="68" customFormat="1" ht="15.6" x14ac:dyDescent="0.3">
      <c r="A1565" s="63"/>
      <c r="B1565" s="64"/>
      <c r="C1565" s="65"/>
      <c r="D1565" s="66"/>
      <c r="E1565" s="67"/>
      <c r="G1565" s="69"/>
    </row>
    <row r="1566" spans="1:7" s="68" customFormat="1" ht="15.6" x14ac:dyDescent="0.3">
      <c r="A1566" s="63"/>
      <c r="B1566" s="64"/>
      <c r="C1566" s="65"/>
      <c r="D1566" s="66"/>
      <c r="E1566" s="67"/>
      <c r="G1566" s="69"/>
    </row>
    <row r="1567" spans="1:7" s="68" customFormat="1" ht="15.6" x14ac:dyDescent="0.3">
      <c r="A1567" s="63"/>
      <c r="B1567" s="64"/>
      <c r="C1567" s="65"/>
      <c r="D1567" s="66"/>
      <c r="E1567" s="67"/>
      <c r="G1567" s="69"/>
    </row>
    <row r="1568" spans="1:7" s="68" customFormat="1" ht="15.6" x14ac:dyDescent="0.3">
      <c r="A1568" s="63"/>
      <c r="B1568" s="64"/>
      <c r="C1568" s="65"/>
      <c r="D1568" s="66"/>
      <c r="E1568" s="67"/>
      <c r="G1568" s="69"/>
    </row>
    <row r="1569" spans="1:7" s="68" customFormat="1" ht="15.6" x14ac:dyDescent="0.3">
      <c r="A1569" s="63"/>
      <c r="B1569" s="64"/>
      <c r="C1569" s="65"/>
      <c r="D1569" s="66"/>
      <c r="E1569" s="67"/>
      <c r="G1569" s="69"/>
    </row>
    <row r="1570" spans="1:7" s="68" customFormat="1" ht="15.6" x14ac:dyDescent="0.3">
      <c r="A1570" s="63"/>
      <c r="B1570" s="64"/>
      <c r="C1570" s="65"/>
      <c r="D1570" s="66"/>
      <c r="E1570" s="67"/>
      <c r="G1570" s="69"/>
    </row>
    <row r="1571" spans="1:7" s="68" customFormat="1" ht="15.6" x14ac:dyDescent="0.3">
      <c r="A1571" s="63"/>
      <c r="B1571" s="64"/>
      <c r="C1571" s="65"/>
      <c r="D1571" s="66"/>
      <c r="E1571" s="67"/>
      <c r="G1571" s="69"/>
    </row>
    <row r="1572" spans="1:7" s="68" customFormat="1" ht="15.6" x14ac:dyDescent="0.3">
      <c r="A1572" s="63"/>
      <c r="B1572" s="64"/>
      <c r="C1572" s="65"/>
      <c r="D1572" s="66"/>
      <c r="E1572" s="67"/>
      <c r="G1572" s="69"/>
    </row>
    <row r="1573" spans="1:7" s="68" customFormat="1" ht="15.6" x14ac:dyDescent="0.3">
      <c r="A1573" s="63"/>
      <c r="B1573" s="64"/>
      <c r="C1573" s="65"/>
      <c r="D1573" s="66"/>
      <c r="E1573" s="67"/>
      <c r="G1573" s="69"/>
    </row>
    <row r="1574" spans="1:7" s="68" customFormat="1" ht="15.6" x14ac:dyDescent="0.3">
      <c r="A1574" s="63"/>
      <c r="B1574" s="64"/>
      <c r="C1574" s="65"/>
      <c r="D1574" s="66"/>
      <c r="E1574" s="67"/>
      <c r="G1574" s="69"/>
    </row>
    <row r="1575" spans="1:7" s="68" customFormat="1" ht="15.6" x14ac:dyDescent="0.3">
      <c r="A1575" s="63"/>
      <c r="B1575" s="64"/>
      <c r="C1575" s="65"/>
      <c r="D1575" s="66"/>
      <c r="E1575" s="67"/>
      <c r="G1575" s="69"/>
    </row>
    <row r="1576" spans="1:7" s="68" customFormat="1" ht="15.6" x14ac:dyDescent="0.3">
      <c r="A1576" s="63"/>
      <c r="B1576" s="64"/>
      <c r="C1576" s="65"/>
      <c r="D1576" s="66"/>
      <c r="E1576" s="67"/>
      <c r="G1576" s="69"/>
    </row>
    <row r="1577" spans="1:7" s="68" customFormat="1" ht="15.6" x14ac:dyDescent="0.3">
      <c r="A1577" s="63"/>
      <c r="B1577" s="64"/>
      <c r="C1577" s="65"/>
      <c r="D1577" s="66"/>
      <c r="E1577" s="67"/>
      <c r="G1577" s="69"/>
    </row>
    <row r="1578" spans="1:7" s="68" customFormat="1" ht="15.6" x14ac:dyDescent="0.3">
      <c r="A1578" s="63"/>
      <c r="B1578" s="64"/>
      <c r="C1578" s="65"/>
      <c r="D1578" s="66"/>
      <c r="E1578" s="67"/>
      <c r="G1578" s="69"/>
    </row>
    <row r="1579" spans="1:7" s="68" customFormat="1" ht="15.6" x14ac:dyDescent="0.3">
      <c r="A1579" s="63"/>
      <c r="B1579" s="64"/>
      <c r="C1579" s="65"/>
      <c r="D1579" s="66"/>
      <c r="E1579" s="67"/>
      <c r="G1579" s="69"/>
    </row>
    <row r="1580" spans="1:7" s="68" customFormat="1" ht="15.6" x14ac:dyDescent="0.3">
      <c r="A1580" s="63"/>
      <c r="B1580" s="64"/>
      <c r="C1580" s="65"/>
      <c r="D1580" s="66"/>
      <c r="E1580" s="67"/>
      <c r="G1580" s="69"/>
    </row>
    <row r="1581" spans="1:7" s="68" customFormat="1" ht="15.6" x14ac:dyDescent="0.3">
      <c r="A1581" s="63"/>
      <c r="B1581" s="64"/>
      <c r="C1581" s="65"/>
      <c r="D1581" s="66"/>
      <c r="E1581" s="67"/>
      <c r="G1581" s="69"/>
    </row>
    <row r="1582" spans="1:7" s="68" customFormat="1" ht="15.6" x14ac:dyDescent="0.3">
      <c r="A1582" s="63"/>
      <c r="B1582" s="64"/>
      <c r="C1582" s="65"/>
      <c r="D1582" s="66"/>
      <c r="E1582" s="67"/>
      <c r="G1582" s="69"/>
    </row>
    <row r="1583" spans="1:7" s="68" customFormat="1" ht="15.6" x14ac:dyDescent="0.3">
      <c r="A1583" s="63"/>
      <c r="B1583" s="64"/>
      <c r="C1583" s="65"/>
      <c r="D1583" s="66"/>
      <c r="E1583" s="67"/>
      <c r="G1583" s="69"/>
    </row>
    <row r="1584" spans="1:7" s="68" customFormat="1" ht="15.6" x14ac:dyDescent="0.3">
      <c r="A1584" s="63"/>
      <c r="B1584" s="64"/>
      <c r="C1584" s="65"/>
      <c r="D1584" s="66"/>
      <c r="E1584" s="67"/>
      <c r="G1584" s="69"/>
    </row>
    <row r="1585" spans="1:7" s="68" customFormat="1" ht="15.6" x14ac:dyDescent="0.3">
      <c r="A1585" s="63"/>
      <c r="B1585" s="64"/>
      <c r="C1585" s="65"/>
      <c r="D1585" s="66"/>
      <c r="E1585" s="67"/>
      <c r="G1585" s="69"/>
    </row>
    <row r="1586" spans="1:7" s="68" customFormat="1" ht="15.6" x14ac:dyDescent="0.3">
      <c r="A1586" s="63"/>
      <c r="B1586" s="64"/>
      <c r="C1586" s="65"/>
      <c r="D1586" s="66"/>
      <c r="E1586" s="67"/>
      <c r="G1586" s="69"/>
    </row>
    <row r="1587" spans="1:7" s="68" customFormat="1" ht="15.6" x14ac:dyDescent="0.3">
      <c r="A1587" s="63"/>
      <c r="B1587" s="64"/>
      <c r="C1587" s="65"/>
      <c r="D1587" s="66"/>
      <c r="E1587" s="67"/>
      <c r="G1587" s="69"/>
    </row>
    <row r="1588" spans="1:7" s="68" customFormat="1" ht="15.6" x14ac:dyDescent="0.3">
      <c r="A1588" s="63"/>
      <c r="B1588" s="64"/>
      <c r="C1588" s="65"/>
      <c r="D1588" s="66"/>
      <c r="E1588" s="67"/>
      <c r="G1588" s="69"/>
    </row>
    <row r="1589" spans="1:7" s="68" customFormat="1" ht="15.6" x14ac:dyDescent="0.3">
      <c r="A1589" s="63"/>
      <c r="B1589" s="64"/>
      <c r="C1589" s="65"/>
      <c r="D1589" s="66"/>
      <c r="E1589" s="67"/>
      <c r="G1589" s="69"/>
    </row>
    <row r="1590" spans="1:7" s="68" customFormat="1" ht="15.6" x14ac:dyDescent="0.3">
      <c r="A1590" s="63"/>
      <c r="B1590" s="64"/>
      <c r="C1590" s="65"/>
      <c r="D1590" s="66"/>
      <c r="E1590" s="67"/>
      <c r="G1590" s="69"/>
    </row>
    <row r="1591" spans="1:7" s="68" customFormat="1" ht="15.6" x14ac:dyDescent="0.3">
      <c r="A1591" s="63"/>
      <c r="B1591" s="64"/>
      <c r="C1591" s="65"/>
      <c r="D1591" s="66"/>
      <c r="E1591" s="67"/>
      <c r="G1591" s="69"/>
    </row>
    <row r="1592" spans="1:7" s="68" customFormat="1" ht="15.6" x14ac:dyDescent="0.3">
      <c r="A1592" s="63"/>
      <c r="B1592" s="64"/>
      <c r="C1592" s="65"/>
      <c r="D1592" s="66"/>
      <c r="E1592" s="67"/>
      <c r="G1592" s="69"/>
    </row>
    <row r="1593" spans="1:7" s="68" customFormat="1" ht="15.6" x14ac:dyDescent="0.3">
      <c r="A1593" s="63"/>
      <c r="B1593" s="64"/>
      <c r="C1593" s="65"/>
      <c r="D1593" s="66"/>
      <c r="E1593" s="67"/>
      <c r="G1593" s="69"/>
    </row>
    <row r="1594" spans="1:7" s="68" customFormat="1" ht="15.6" x14ac:dyDescent="0.3">
      <c r="A1594" s="63"/>
      <c r="B1594" s="64"/>
      <c r="C1594" s="65"/>
      <c r="D1594" s="66"/>
      <c r="E1594" s="67"/>
      <c r="G1594" s="69"/>
    </row>
    <row r="1595" spans="1:7" s="68" customFormat="1" ht="15.6" x14ac:dyDescent="0.3">
      <c r="A1595" s="63"/>
      <c r="B1595" s="64"/>
      <c r="C1595" s="65"/>
      <c r="D1595" s="66"/>
      <c r="E1595" s="67"/>
      <c r="G1595" s="69"/>
    </row>
    <row r="1596" spans="1:7" s="68" customFormat="1" ht="15.6" x14ac:dyDescent="0.3">
      <c r="A1596" s="63"/>
      <c r="B1596" s="64"/>
      <c r="C1596" s="65"/>
      <c r="D1596" s="66"/>
      <c r="E1596" s="67"/>
      <c r="G1596" s="69"/>
    </row>
    <row r="1597" spans="1:7" s="68" customFormat="1" ht="15.6" x14ac:dyDescent="0.3">
      <c r="A1597" s="63"/>
      <c r="B1597" s="64"/>
      <c r="C1597" s="65"/>
      <c r="D1597" s="66"/>
      <c r="E1597" s="67"/>
      <c r="G1597" s="69"/>
    </row>
    <row r="1598" spans="1:7" s="68" customFormat="1" ht="15.6" x14ac:dyDescent="0.3">
      <c r="A1598" s="63"/>
      <c r="B1598" s="64"/>
      <c r="C1598" s="65"/>
      <c r="D1598" s="66"/>
      <c r="E1598" s="67"/>
      <c r="G1598" s="69"/>
    </row>
    <row r="1599" spans="1:7" s="68" customFormat="1" ht="15.6" x14ac:dyDescent="0.3">
      <c r="A1599" s="63"/>
      <c r="B1599" s="64"/>
      <c r="C1599" s="65"/>
      <c r="D1599" s="66"/>
      <c r="E1599" s="67"/>
      <c r="G1599" s="69"/>
    </row>
    <row r="1600" spans="1:7" s="68" customFormat="1" ht="15.6" x14ac:dyDescent="0.3">
      <c r="A1600" s="63"/>
      <c r="B1600" s="64"/>
      <c r="C1600" s="65"/>
      <c r="D1600" s="66"/>
      <c r="E1600" s="67"/>
      <c r="G1600" s="69"/>
    </row>
    <row r="1601" spans="1:7" s="68" customFormat="1" ht="15.6" x14ac:dyDescent="0.3">
      <c r="A1601" s="63"/>
      <c r="B1601" s="64"/>
      <c r="C1601" s="65"/>
      <c r="D1601" s="66"/>
      <c r="E1601" s="67"/>
      <c r="G1601" s="69"/>
    </row>
    <row r="1602" spans="1:7" s="68" customFormat="1" ht="15.6" x14ac:dyDescent="0.3">
      <c r="A1602" s="63"/>
      <c r="B1602" s="64"/>
      <c r="C1602" s="65"/>
      <c r="D1602" s="66"/>
      <c r="E1602" s="67"/>
      <c r="G1602" s="69"/>
    </row>
    <row r="1603" spans="1:7" s="68" customFormat="1" ht="15.6" x14ac:dyDescent="0.3">
      <c r="A1603" s="63"/>
      <c r="B1603" s="64"/>
      <c r="C1603" s="65"/>
      <c r="D1603" s="66"/>
      <c r="E1603" s="67"/>
      <c r="G1603" s="69"/>
    </row>
    <row r="1604" spans="1:7" s="68" customFormat="1" ht="15.6" x14ac:dyDescent="0.3">
      <c r="A1604" s="63"/>
      <c r="B1604" s="64"/>
      <c r="C1604" s="65"/>
      <c r="D1604" s="66"/>
      <c r="E1604" s="67"/>
      <c r="G1604" s="69"/>
    </row>
    <row r="1605" spans="1:7" s="68" customFormat="1" ht="15.6" x14ac:dyDescent="0.3">
      <c r="A1605" s="63"/>
      <c r="B1605" s="64"/>
      <c r="C1605" s="65"/>
      <c r="D1605" s="66"/>
      <c r="E1605" s="67"/>
      <c r="G1605" s="69"/>
    </row>
    <row r="1606" spans="1:7" s="68" customFormat="1" ht="15.6" x14ac:dyDescent="0.3">
      <c r="A1606" s="63"/>
      <c r="B1606" s="64"/>
      <c r="C1606" s="65"/>
      <c r="D1606" s="66"/>
      <c r="E1606" s="67"/>
      <c r="G1606" s="69"/>
    </row>
    <row r="1607" spans="1:7" s="68" customFormat="1" ht="15.6" x14ac:dyDescent="0.3">
      <c r="A1607" s="63"/>
      <c r="B1607" s="64"/>
      <c r="C1607" s="65"/>
      <c r="D1607" s="66"/>
      <c r="E1607" s="67"/>
      <c r="G1607" s="69"/>
    </row>
    <row r="1608" spans="1:7" s="68" customFormat="1" ht="15.6" x14ac:dyDescent="0.3">
      <c r="A1608" s="63"/>
      <c r="B1608" s="64"/>
      <c r="C1608" s="65"/>
      <c r="D1608" s="66"/>
      <c r="E1608" s="67"/>
      <c r="G1608" s="69"/>
    </row>
    <row r="1609" spans="1:7" s="68" customFormat="1" ht="15.6" x14ac:dyDescent="0.3">
      <c r="A1609" s="63"/>
      <c r="B1609" s="64"/>
      <c r="C1609" s="65"/>
      <c r="D1609" s="66"/>
      <c r="E1609" s="67"/>
      <c r="G1609" s="69"/>
    </row>
    <row r="1610" spans="1:7" s="68" customFormat="1" ht="15.6" x14ac:dyDescent="0.3">
      <c r="A1610" s="63"/>
      <c r="B1610" s="64"/>
      <c r="C1610" s="65"/>
      <c r="D1610" s="66"/>
      <c r="E1610" s="67"/>
      <c r="G1610" s="69"/>
    </row>
    <row r="1611" spans="1:7" s="68" customFormat="1" ht="15.6" x14ac:dyDescent="0.3">
      <c r="A1611" s="63"/>
      <c r="B1611" s="64"/>
      <c r="C1611" s="65"/>
      <c r="D1611" s="66"/>
      <c r="E1611" s="67"/>
      <c r="G1611" s="69"/>
    </row>
    <row r="1612" spans="1:7" s="68" customFormat="1" ht="15.6" x14ac:dyDescent="0.3">
      <c r="A1612" s="63"/>
      <c r="B1612" s="64"/>
      <c r="C1612" s="65"/>
      <c r="D1612" s="66"/>
      <c r="E1612" s="67"/>
      <c r="G1612" s="69"/>
    </row>
    <row r="1613" spans="1:7" s="68" customFormat="1" ht="15.6" x14ac:dyDescent="0.3">
      <c r="A1613" s="63"/>
      <c r="B1613" s="64"/>
      <c r="C1613" s="65"/>
      <c r="D1613" s="66"/>
      <c r="E1613" s="67"/>
      <c r="G1613" s="69"/>
    </row>
    <row r="1614" spans="1:7" s="68" customFormat="1" ht="15.6" x14ac:dyDescent="0.3">
      <c r="A1614" s="63"/>
      <c r="B1614" s="64"/>
      <c r="C1614" s="65"/>
      <c r="D1614" s="66"/>
      <c r="E1614" s="67"/>
      <c r="G1614" s="69"/>
    </row>
    <row r="1615" spans="1:7" s="68" customFormat="1" ht="15.6" x14ac:dyDescent="0.3">
      <c r="A1615" s="63"/>
      <c r="B1615" s="64"/>
      <c r="C1615" s="65"/>
      <c r="D1615" s="66"/>
      <c r="E1615" s="67"/>
      <c r="G1615" s="69"/>
    </row>
    <row r="1616" spans="1:7" s="68" customFormat="1" ht="15.6" x14ac:dyDescent="0.3">
      <c r="A1616" s="63"/>
      <c r="B1616" s="64"/>
      <c r="C1616" s="65"/>
      <c r="D1616" s="66"/>
      <c r="E1616" s="67"/>
      <c r="G1616" s="69"/>
    </row>
    <row r="1617" spans="1:7" s="68" customFormat="1" ht="15.6" x14ac:dyDescent="0.3">
      <c r="A1617" s="63"/>
      <c r="B1617" s="64"/>
      <c r="C1617" s="65"/>
      <c r="D1617" s="66"/>
      <c r="E1617" s="67"/>
      <c r="G1617" s="69"/>
    </row>
    <row r="1618" spans="1:7" s="68" customFormat="1" ht="15.6" x14ac:dyDescent="0.3">
      <c r="A1618" s="63"/>
      <c r="B1618" s="64"/>
      <c r="C1618" s="65"/>
      <c r="D1618" s="66"/>
      <c r="E1618" s="67"/>
      <c r="G1618" s="69"/>
    </row>
    <row r="1619" spans="1:7" s="68" customFormat="1" ht="15.6" x14ac:dyDescent="0.3">
      <c r="A1619" s="63"/>
      <c r="B1619" s="64"/>
      <c r="C1619" s="65"/>
      <c r="D1619" s="66"/>
      <c r="E1619" s="67"/>
      <c r="G1619" s="69"/>
    </row>
    <row r="1620" spans="1:7" s="68" customFormat="1" ht="15.6" x14ac:dyDescent="0.3">
      <c r="A1620" s="63"/>
      <c r="B1620" s="64"/>
      <c r="C1620" s="65"/>
      <c r="D1620" s="66"/>
      <c r="E1620" s="67"/>
      <c r="G1620" s="69"/>
    </row>
    <row r="1621" spans="1:7" s="68" customFormat="1" ht="15.6" x14ac:dyDescent="0.3">
      <c r="A1621" s="63"/>
      <c r="B1621" s="64"/>
      <c r="C1621" s="65"/>
      <c r="D1621" s="66"/>
      <c r="E1621" s="67"/>
      <c r="G1621" s="69"/>
    </row>
    <row r="1622" spans="1:7" s="68" customFormat="1" ht="15.6" x14ac:dyDescent="0.3">
      <c r="A1622" s="63"/>
      <c r="B1622" s="64"/>
      <c r="C1622" s="65"/>
      <c r="D1622" s="66"/>
      <c r="E1622" s="67"/>
      <c r="G1622" s="69"/>
    </row>
    <row r="1623" spans="1:7" s="68" customFormat="1" ht="15.6" x14ac:dyDescent="0.3">
      <c r="A1623" s="63"/>
      <c r="B1623" s="64"/>
      <c r="C1623" s="65"/>
      <c r="D1623" s="66"/>
      <c r="E1623" s="67"/>
      <c r="G1623" s="69"/>
    </row>
    <row r="1624" spans="1:7" s="68" customFormat="1" ht="15.6" x14ac:dyDescent="0.3">
      <c r="A1624" s="63"/>
      <c r="B1624" s="64"/>
      <c r="C1624" s="65"/>
      <c r="D1624" s="66"/>
      <c r="E1624" s="67"/>
      <c r="G1624" s="69"/>
    </row>
    <row r="1625" spans="1:7" s="68" customFormat="1" ht="15.6" x14ac:dyDescent="0.3">
      <c r="A1625" s="63"/>
      <c r="B1625" s="64"/>
      <c r="C1625" s="65"/>
      <c r="D1625" s="66"/>
      <c r="E1625" s="67"/>
      <c r="G1625" s="69"/>
    </row>
    <row r="1626" spans="1:7" s="68" customFormat="1" ht="15.6" x14ac:dyDescent="0.3">
      <c r="A1626" s="63"/>
      <c r="B1626" s="64"/>
      <c r="C1626" s="65"/>
      <c r="D1626" s="66"/>
      <c r="E1626" s="67"/>
      <c r="G1626" s="69"/>
    </row>
    <row r="1627" spans="1:7" s="68" customFormat="1" ht="15.6" x14ac:dyDescent="0.3">
      <c r="A1627" s="63"/>
      <c r="B1627" s="64"/>
      <c r="C1627" s="65"/>
      <c r="D1627" s="66"/>
      <c r="E1627" s="67"/>
      <c r="G1627" s="69"/>
    </row>
    <row r="1628" spans="1:7" s="68" customFormat="1" ht="15.6" x14ac:dyDescent="0.3">
      <c r="A1628" s="63"/>
      <c r="B1628" s="64"/>
      <c r="C1628" s="65"/>
      <c r="D1628" s="66"/>
      <c r="E1628" s="67"/>
      <c r="G1628" s="69"/>
    </row>
    <row r="1629" spans="1:7" s="68" customFormat="1" ht="15.6" x14ac:dyDescent="0.3">
      <c r="A1629" s="63"/>
      <c r="B1629" s="64"/>
      <c r="C1629" s="65"/>
      <c r="D1629" s="66"/>
      <c r="E1629" s="67"/>
      <c r="G1629" s="69"/>
    </row>
    <row r="1630" spans="1:7" s="68" customFormat="1" ht="15.6" x14ac:dyDescent="0.3">
      <c r="A1630" s="63"/>
      <c r="B1630" s="64"/>
      <c r="C1630" s="65"/>
      <c r="D1630" s="66"/>
      <c r="E1630" s="67"/>
      <c r="G1630" s="69"/>
    </row>
    <row r="1631" spans="1:7" s="68" customFormat="1" ht="15.6" x14ac:dyDescent="0.3">
      <c r="A1631" s="63"/>
      <c r="B1631" s="64"/>
      <c r="C1631" s="65"/>
      <c r="D1631" s="66"/>
      <c r="E1631" s="67"/>
      <c r="G1631" s="69"/>
    </row>
    <row r="1632" spans="1:7" s="68" customFormat="1" ht="15.6" x14ac:dyDescent="0.3">
      <c r="A1632" s="63"/>
      <c r="B1632" s="64"/>
      <c r="C1632" s="65"/>
      <c r="D1632" s="66"/>
      <c r="E1632" s="67"/>
      <c r="G1632" s="69"/>
    </row>
    <row r="1633" spans="1:7" s="68" customFormat="1" ht="15.6" x14ac:dyDescent="0.3">
      <c r="A1633" s="63"/>
      <c r="B1633" s="64"/>
      <c r="C1633" s="65"/>
      <c r="D1633" s="66"/>
      <c r="E1633" s="67"/>
      <c r="G1633" s="69"/>
    </row>
    <row r="1634" spans="1:7" s="68" customFormat="1" ht="15.6" x14ac:dyDescent="0.3">
      <c r="A1634" s="63"/>
      <c r="B1634" s="64"/>
      <c r="C1634" s="65"/>
      <c r="D1634" s="66"/>
      <c r="E1634" s="67"/>
      <c r="G1634" s="69"/>
    </row>
    <row r="1635" spans="1:7" s="68" customFormat="1" ht="15.6" x14ac:dyDescent="0.3">
      <c r="A1635" s="63"/>
      <c r="B1635" s="64"/>
      <c r="C1635" s="65"/>
      <c r="D1635" s="66"/>
      <c r="E1635" s="67"/>
      <c r="G1635" s="69"/>
    </row>
    <row r="1636" spans="1:7" s="68" customFormat="1" ht="15.6" x14ac:dyDescent="0.3">
      <c r="A1636" s="63"/>
      <c r="B1636" s="64"/>
      <c r="C1636" s="65"/>
      <c r="D1636" s="66"/>
      <c r="E1636" s="67"/>
      <c r="G1636" s="69"/>
    </row>
    <row r="1637" spans="1:7" s="68" customFormat="1" ht="15.6" x14ac:dyDescent="0.3">
      <c r="A1637" s="63"/>
      <c r="B1637" s="64"/>
      <c r="C1637" s="65"/>
      <c r="D1637" s="66"/>
      <c r="E1637" s="67"/>
      <c r="G1637" s="69"/>
    </row>
    <row r="1638" spans="1:7" s="68" customFormat="1" ht="15.6" x14ac:dyDescent="0.3">
      <c r="A1638" s="63"/>
      <c r="B1638" s="64"/>
      <c r="C1638" s="65"/>
      <c r="D1638" s="66"/>
      <c r="E1638" s="67"/>
      <c r="G1638" s="69"/>
    </row>
    <row r="1639" spans="1:7" s="68" customFormat="1" ht="15.6" x14ac:dyDescent="0.3">
      <c r="A1639" s="63"/>
      <c r="B1639" s="64"/>
      <c r="C1639" s="65"/>
      <c r="D1639" s="66"/>
      <c r="E1639" s="67"/>
      <c r="G1639" s="69"/>
    </row>
    <row r="1640" spans="1:7" s="68" customFormat="1" ht="15.6" x14ac:dyDescent="0.3">
      <c r="A1640" s="63"/>
      <c r="B1640" s="64"/>
      <c r="C1640" s="65"/>
      <c r="D1640" s="66"/>
      <c r="E1640" s="67"/>
      <c r="G1640" s="69"/>
    </row>
    <row r="1641" spans="1:7" s="68" customFormat="1" ht="15.6" x14ac:dyDescent="0.3">
      <c r="A1641" s="63"/>
      <c r="B1641" s="64"/>
      <c r="C1641" s="65"/>
      <c r="D1641" s="66"/>
      <c r="E1641" s="67"/>
      <c r="G1641" s="69"/>
    </row>
    <row r="1642" spans="1:7" s="68" customFormat="1" ht="15.6" x14ac:dyDescent="0.3">
      <c r="A1642" s="63"/>
      <c r="B1642" s="64"/>
      <c r="C1642" s="65"/>
      <c r="D1642" s="66"/>
      <c r="E1642" s="67"/>
      <c r="G1642" s="69"/>
    </row>
    <row r="1643" spans="1:7" s="68" customFormat="1" ht="15.6" x14ac:dyDescent="0.3">
      <c r="A1643" s="63"/>
      <c r="B1643" s="64"/>
      <c r="C1643" s="65"/>
      <c r="D1643" s="66"/>
      <c r="E1643" s="67"/>
      <c r="G1643" s="69"/>
    </row>
    <row r="1644" spans="1:7" s="68" customFormat="1" ht="15.6" x14ac:dyDescent="0.3">
      <c r="A1644" s="63"/>
      <c r="B1644" s="64"/>
      <c r="C1644" s="65"/>
      <c r="D1644" s="66"/>
      <c r="E1644" s="67"/>
      <c r="G1644" s="69"/>
    </row>
    <row r="1645" spans="1:7" s="68" customFormat="1" ht="15.6" x14ac:dyDescent="0.3">
      <c r="A1645" s="63"/>
      <c r="B1645" s="64"/>
      <c r="C1645" s="65"/>
      <c r="D1645" s="66"/>
      <c r="E1645" s="67"/>
      <c r="G1645" s="69"/>
    </row>
    <row r="1646" spans="1:7" s="68" customFormat="1" ht="15.6" x14ac:dyDescent="0.3">
      <c r="A1646" s="63"/>
      <c r="B1646" s="64"/>
      <c r="C1646" s="65"/>
      <c r="D1646" s="66"/>
      <c r="E1646" s="67"/>
      <c r="G1646" s="69"/>
    </row>
    <row r="1647" spans="1:7" s="68" customFormat="1" ht="15.6" x14ac:dyDescent="0.3">
      <c r="A1647" s="63"/>
      <c r="B1647" s="64"/>
      <c r="C1647" s="65"/>
      <c r="D1647" s="66"/>
      <c r="E1647" s="67"/>
      <c r="G1647" s="69"/>
    </row>
    <row r="1648" spans="1:7" s="68" customFormat="1" ht="15.6" x14ac:dyDescent="0.3">
      <c r="A1648" s="63"/>
      <c r="B1648" s="64"/>
      <c r="C1648" s="65"/>
      <c r="D1648" s="66"/>
      <c r="E1648" s="67"/>
      <c r="G1648" s="69"/>
    </row>
    <row r="1649" spans="1:7" s="68" customFormat="1" ht="15.6" x14ac:dyDescent="0.3">
      <c r="A1649" s="63"/>
      <c r="B1649" s="64"/>
      <c r="C1649" s="65"/>
      <c r="D1649" s="66"/>
      <c r="E1649" s="67"/>
      <c r="G1649" s="69"/>
    </row>
    <row r="1650" spans="1:7" s="68" customFormat="1" ht="15.6" x14ac:dyDescent="0.3">
      <c r="A1650" s="63"/>
      <c r="B1650" s="64"/>
      <c r="C1650" s="65"/>
      <c r="D1650" s="66"/>
      <c r="E1650" s="67"/>
      <c r="G1650" s="69"/>
    </row>
    <row r="1651" spans="1:7" s="68" customFormat="1" ht="15.6" x14ac:dyDescent="0.3">
      <c r="A1651" s="63"/>
      <c r="B1651" s="64"/>
      <c r="C1651" s="65"/>
      <c r="D1651" s="66"/>
      <c r="E1651" s="67"/>
      <c r="G1651" s="69"/>
    </row>
    <row r="1652" spans="1:7" s="68" customFormat="1" ht="15.6" x14ac:dyDescent="0.3">
      <c r="A1652" s="63"/>
      <c r="B1652" s="64"/>
      <c r="C1652" s="65"/>
      <c r="D1652" s="66"/>
      <c r="E1652" s="67"/>
      <c r="G1652" s="69"/>
    </row>
    <row r="1653" spans="1:7" s="68" customFormat="1" ht="15.6" x14ac:dyDescent="0.3">
      <c r="A1653" s="63"/>
      <c r="B1653" s="64"/>
      <c r="C1653" s="65"/>
      <c r="D1653" s="66"/>
      <c r="E1653" s="67"/>
      <c r="G1653" s="69"/>
    </row>
    <row r="1654" spans="1:7" s="68" customFormat="1" ht="15.6" x14ac:dyDescent="0.3">
      <c r="A1654" s="63"/>
      <c r="B1654" s="64"/>
      <c r="C1654" s="65"/>
      <c r="D1654" s="66"/>
      <c r="E1654" s="67"/>
      <c r="G1654" s="69"/>
    </row>
    <row r="1655" spans="1:7" s="68" customFormat="1" ht="15.6" x14ac:dyDescent="0.3">
      <c r="A1655" s="63"/>
      <c r="B1655" s="64"/>
      <c r="C1655" s="65"/>
      <c r="D1655" s="66"/>
      <c r="E1655" s="67"/>
      <c r="G1655" s="69"/>
    </row>
    <row r="1656" spans="1:7" s="68" customFormat="1" ht="15.6" x14ac:dyDescent="0.3">
      <c r="A1656" s="63"/>
      <c r="B1656" s="64"/>
      <c r="C1656" s="65"/>
      <c r="D1656" s="66"/>
      <c r="E1656" s="67"/>
      <c r="G1656" s="69"/>
    </row>
    <row r="1657" spans="1:7" s="68" customFormat="1" ht="15.6" x14ac:dyDescent="0.3">
      <c r="A1657" s="63"/>
      <c r="B1657" s="64"/>
      <c r="C1657" s="65"/>
      <c r="D1657" s="66"/>
      <c r="E1657" s="67"/>
      <c r="G1657" s="69"/>
    </row>
    <row r="1658" spans="1:7" s="68" customFormat="1" ht="15.6" x14ac:dyDescent="0.3">
      <c r="A1658" s="63"/>
      <c r="B1658" s="64"/>
      <c r="C1658" s="65"/>
      <c r="D1658" s="66"/>
      <c r="E1658" s="67"/>
      <c r="G1658" s="69"/>
    </row>
    <row r="1659" spans="1:7" s="68" customFormat="1" ht="15.6" x14ac:dyDescent="0.3">
      <c r="A1659" s="63"/>
      <c r="B1659" s="64"/>
      <c r="C1659" s="65"/>
      <c r="D1659" s="66"/>
      <c r="E1659" s="67"/>
      <c r="G1659" s="69"/>
    </row>
    <row r="1660" spans="1:7" s="68" customFormat="1" ht="15.6" x14ac:dyDescent="0.3">
      <c r="A1660" s="63"/>
      <c r="B1660" s="64"/>
      <c r="C1660" s="65"/>
      <c r="D1660" s="66"/>
      <c r="E1660" s="67"/>
      <c r="G1660" s="69"/>
    </row>
    <row r="1661" spans="1:7" s="68" customFormat="1" ht="15.6" x14ac:dyDescent="0.3">
      <c r="A1661" s="63"/>
      <c r="B1661" s="64"/>
      <c r="C1661" s="65"/>
      <c r="D1661" s="66"/>
      <c r="E1661" s="67"/>
      <c r="G1661" s="69"/>
    </row>
    <row r="1662" spans="1:7" s="68" customFormat="1" ht="15.6" x14ac:dyDescent="0.3">
      <c r="A1662" s="63"/>
      <c r="B1662" s="64"/>
      <c r="C1662" s="65"/>
      <c r="D1662" s="66"/>
      <c r="E1662" s="67"/>
      <c r="G1662" s="69"/>
    </row>
    <row r="1663" spans="1:7" s="68" customFormat="1" ht="15.6" x14ac:dyDescent="0.3">
      <c r="A1663" s="63"/>
      <c r="B1663" s="64"/>
      <c r="C1663" s="65"/>
      <c r="D1663" s="66"/>
      <c r="E1663" s="67"/>
      <c r="G1663" s="69"/>
    </row>
    <row r="1664" spans="1:7" s="68" customFormat="1" ht="15.6" x14ac:dyDescent="0.3">
      <c r="A1664" s="63"/>
      <c r="B1664" s="64"/>
      <c r="C1664" s="65"/>
      <c r="D1664" s="66"/>
      <c r="E1664" s="67"/>
      <c r="G1664" s="69"/>
    </row>
    <row r="1665" spans="1:7" s="68" customFormat="1" ht="15.6" x14ac:dyDescent="0.3">
      <c r="A1665" s="63"/>
      <c r="B1665" s="64"/>
      <c r="C1665" s="65"/>
      <c r="D1665" s="66"/>
      <c r="E1665" s="67"/>
      <c r="G1665" s="69"/>
    </row>
    <row r="1666" spans="1:7" s="68" customFormat="1" ht="15.6" x14ac:dyDescent="0.3">
      <c r="A1666" s="63"/>
      <c r="B1666" s="64"/>
      <c r="C1666" s="65"/>
      <c r="D1666" s="66"/>
      <c r="E1666" s="67"/>
      <c r="G1666" s="69"/>
    </row>
    <row r="1667" spans="1:7" s="68" customFormat="1" ht="15.6" x14ac:dyDescent="0.3">
      <c r="A1667" s="63"/>
      <c r="B1667" s="64"/>
      <c r="C1667" s="65"/>
      <c r="D1667" s="66"/>
      <c r="E1667" s="67"/>
      <c r="G1667" s="69"/>
    </row>
    <row r="1668" spans="1:7" s="68" customFormat="1" ht="15.6" x14ac:dyDescent="0.3">
      <c r="A1668" s="63"/>
      <c r="B1668" s="64"/>
      <c r="C1668" s="65"/>
      <c r="D1668" s="66"/>
      <c r="E1668" s="67"/>
      <c r="G1668" s="69"/>
    </row>
    <row r="1669" spans="1:7" s="68" customFormat="1" ht="15.6" x14ac:dyDescent="0.3">
      <c r="A1669" s="63"/>
      <c r="B1669" s="64"/>
      <c r="C1669" s="65"/>
      <c r="D1669" s="66"/>
      <c r="E1669" s="67"/>
      <c r="G1669" s="69"/>
    </row>
    <row r="1670" spans="1:7" s="68" customFormat="1" ht="15.6" x14ac:dyDescent="0.3">
      <c r="A1670" s="63"/>
      <c r="B1670" s="64"/>
      <c r="C1670" s="65"/>
      <c r="D1670" s="66"/>
      <c r="E1670" s="67"/>
      <c r="G1670" s="69"/>
    </row>
    <row r="1671" spans="1:7" s="68" customFormat="1" ht="15.6" x14ac:dyDescent="0.3">
      <c r="A1671" s="63"/>
      <c r="B1671" s="64"/>
      <c r="C1671" s="65"/>
      <c r="D1671" s="66"/>
      <c r="E1671" s="67"/>
      <c r="G1671" s="69"/>
    </row>
    <row r="1672" spans="1:7" s="68" customFormat="1" ht="15.6" x14ac:dyDescent="0.3">
      <c r="A1672" s="63"/>
      <c r="B1672" s="64"/>
      <c r="C1672" s="65"/>
      <c r="D1672" s="66"/>
      <c r="E1672" s="67"/>
      <c r="G1672" s="69"/>
    </row>
    <row r="1673" spans="1:7" s="68" customFormat="1" ht="15.6" x14ac:dyDescent="0.3">
      <c r="A1673" s="63"/>
      <c r="B1673" s="64"/>
      <c r="C1673" s="65"/>
      <c r="D1673" s="66"/>
      <c r="E1673" s="67"/>
      <c r="G1673" s="69"/>
    </row>
    <row r="1674" spans="1:7" s="68" customFormat="1" ht="15.6" x14ac:dyDescent="0.3">
      <c r="A1674" s="63"/>
      <c r="B1674" s="64"/>
      <c r="C1674" s="65"/>
      <c r="D1674" s="66"/>
      <c r="E1674" s="67"/>
      <c r="G1674" s="69"/>
    </row>
    <row r="1675" spans="1:7" s="68" customFormat="1" ht="15.6" x14ac:dyDescent="0.3">
      <c r="A1675" s="63"/>
      <c r="B1675" s="64"/>
      <c r="C1675" s="65"/>
      <c r="D1675" s="66"/>
      <c r="E1675" s="67"/>
      <c r="G1675" s="69"/>
    </row>
    <row r="1676" spans="1:7" s="68" customFormat="1" ht="15.6" x14ac:dyDescent="0.3">
      <c r="A1676" s="63"/>
      <c r="B1676" s="64"/>
      <c r="C1676" s="65"/>
      <c r="D1676" s="66"/>
      <c r="E1676" s="67"/>
      <c r="G1676" s="69"/>
    </row>
    <row r="1677" spans="1:7" s="68" customFormat="1" ht="15.6" x14ac:dyDescent="0.3">
      <c r="A1677" s="63"/>
      <c r="B1677" s="64"/>
      <c r="C1677" s="65"/>
      <c r="D1677" s="66"/>
      <c r="E1677" s="67"/>
      <c r="G1677" s="69"/>
    </row>
    <row r="1678" spans="1:7" s="68" customFormat="1" ht="15.6" x14ac:dyDescent="0.3">
      <c r="A1678" s="63"/>
      <c r="B1678" s="64"/>
      <c r="C1678" s="65"/>
      <c r="D1678" s="66"/>
      <c r="E1678" s="67"/>
      <c r="G1678" s="69"/>
    </row>
    <row r="1679" spans="1:7" s="68" customFormat="1" ht="15.6" x14ac:dyDescent="0.3">
      <c r="A1679" s="63"/>
      <c r="B1679" s="64"/>
      <c r="C1679" s="65"/>
      <c r="D1679" s="66"/>
      <c r="E1679" s="67"/>
      <c r="G1679" s="69"/>
    </row>
    <row r="1680" spans="1:7" s="68" customFormat="1" ht="15.6" x14ac:dyDescent="0.3">
      <c r="A1680" s="63"/>
      <c r="B1680" s="64"/>
      <c r="C1680" s="65"/>
      <c r="D1680" s="66"/>
      <c r="E1680" s="67"/>
      <c r="G1680" s="69"/>
    </row>
    <row r="1681" spans="1:7" s="68" customFormat="1" ht="15.6" x14ac:dyDescent="0.3">
      <c r="A1681" s="63"/>
      <c r="B1681" s="64"/>
      <c r="C1681" s="65"/>
      <c r="D1681" s="66"/>
      <c r="E1681" s="67"/>
      <c r="G1681" s="69"/>
    </row>
    <row r="1682" spans="1:7" s="68" customFormat="1" ht="15.6" x14ac:dyDescent="0.3">
      <c r="A1682" s="63"/>
      <c r="B1682" s="64"/>
      <c r="C1682" s="65"/>
      <c r="D1682" s="66"/>
      <c r="E1682" s="67"/>
      <c r="G1682" s="69"/>
    </row>
    <row r="1683" spans="1:7" s="68" customFormat="1" ht="15.6" x14ac:dyDescent="0.3">
      <c r="A1683" s="63"/>
      <c r="B1683" s="64"/>
      <c r="C1683" s="65"/>
      <c r="D1683" s="66"/>
      <c r="E1683" s="67"/>
      <c r="G1683" s="69"/>
    </row>
    <row r="1684" spans="1:7" s="68" customFormat="1" ht="15.6" x14ac:dyDescent="0.3">
      <c r="A1684" s="63"/>
      <c r="B1684" s="64"/>
      <c r="C1684" s="65"/>
      <c r="D1684" s="66"/>
      <c r="E1684" s="67"/>
      <c r="G1684" s="69"/>
    </row>
    <row r="1685" spans="1:7" s="68" customFormat="1" ht="15.6" x14ac:dyDescent="0.3">
      <c r="A1685" s="63"/>
      <c r="B1685" s="64"/>
      <c r="C1685" s="65"/>
      <c r="D1685" s="66"/>
      <c r="E1685" s="67"/>
      <c r="G1685" s="69"/>
    </row>
    <row r="1686" spans="1:7" s="68" customFormat="1" ht="15.6" x14ac:dyDescent="0.3">
      <c r="A1686" s="63"/>
      <c r="B1686" s="64"/>
      <c r="C1686" s="65"/>
      <c r="D1686" s="66"/>
      <c r="E1686" s="67"/>
      <c r="G1686" s="69"/>
    </row>
    <row r="1687" spans="1:7" s="68" customFormat="1" ht="15.6" x14ac:dyDescent="0.3">
      <c r="A1687" s="63"/>
      <c r="B1687" s="64"/>
      <c r="C1687" s="65"/>
      <c r="D1687" s="66"/>
      <c r="E1687" s="67"/>
      <c r="G1687" s="69"/>
    </row>
    <row r="1688" spans="1:7" s="68" customFormat="1" ht="15.6" x14ac:dyDescent="0.3">
      <c r="A1688" s="63"/>
      <c r="B1688" s="64"/>
      <c r="C1688" s="65"/>
      <c r="D1688" s="66"/>
      <c r="E1688" s="67"/>
      <c r="G1688" s="69"/>
    </row>
    <row r="1689" spans="1:7" s="68" customFormat="1" ht="15.6" x14ac:dyDescent="0.3">
      <c r="A1689" s="63"/>
      <c r="B1689" s="64"/>
      <c r="C1689" s="65"/>
      <c r="D1689" s="66"/>
      <c r="E1689" s="67"/>
      <c r="G1689" s="69"/>
    </row>
    <row r="1690" spans="1:7" s="68" customFormat="1" ht="15.6" x14ac:dyDescent="0.3">
      <c r="A1690" s="63"/>
      <c r="B1690" s="64"/>
      <c r="C1690" s="65"/>
      <c r="D1690" s="66"/>
      <c r="E1690" s="67"/>
      <c r="G1690" s="69"/>
    </row>
    <row r="1691" spans="1:7" s="68" customFormat="1" ht="15.6" x14ac:dyDescent="0.3">
      <c r="A1691" s="63"/>
      <c r="B1691" s="64"/>
      <c r="C1691" s="65"/>
      <c r="D1691" s="66"/>
      <c r="E1691" s="67"/>
      <c r="G1691" s="69"/>
    </row>
    <row r="1692" spans="1:7" s="68" customFormat="1" ht="15.6" x14ac:dyDescent="0.3">
      <c r="A1692" s="63"/>
      <c r="B1692" s="64"/>
      <c r="C1692" s="65"/>
      <c r="D1692" s="66"/>
      <c r="E1692" s="67"/>
      <c r="G1692" s="69"/>
    </row>
    <row r="1693" spans="1:7" s="68" customFormat="1" ht="15.6" x14ac:dyDescent="0.3">
      <c r="A1693" s="63"/>
      <c r="B1693" s="64"/>
      <c r="C1693" s="65"/>
      <c r="D1693" s="66"/>
      <c r="E1693" s="67"/>
      <c r="G1693" s="69"/>
    </row>
    <row r="1694" spans="1:7" s="68" customFormat="1" ht="15.6" x14ac:dyDescent="0.3">
      <c r="A1694" s="63"/>
      <c r="B1694" s="64"/>
      <c r="C1694" s="65"/>
      <c r="D1694" s="66"/>
      <c r="E1694" s="67"/>
      <c r="G1694" s="69"/>
    </row>
    <row r="1695" spans="1:7" s="68" customFormat="1" ht="15.6" x14ac:dyDescent="0.3">
      <c r="A1695" s="63"/>
      <c r="B1695" s="64"/>
      <c r="C1695" s="65"/>
      <c r="D1695" s="66"/>
      <c r="E1695" s="67"/>
      <c r="G1695" s="69"/>
    </row>
    <row r="1696" spans="1:7" s="68" customFormat="1" ht="15.6" x14ac:dyDescent="0.3">
      <c r="A1696" s="63"/>
      <c r="B1696" s="64"/>
      <c r="C1696" s="65"/>
      <c r="D1696" s="66"/>
      <c r="E1696" s="67"/>
      <c r="G1696" s="69"/>
    </row>
    <row r="1697" spans="1:7" s="68" customFormat="1" ht="15.6" x14ac:dyDescent="0.3">
      <c r="A1697" s="63"/>
      <c r="B1697" s="64"/>
      <c r="C1697" s="65"/>
      <c r="D1697" s="66"/>
      <c r="E1697" s="67"/>
      <c r="G1697" s="69"/>
    </row>
    <row r="1698" spans="1:7" s="68" customFormat="1" ht="15.6" x14ac:dyDescent="0.3">
      <c r="A1698" s="63"/>
      <c r="B1698" s="64"/>
      <c r="C1698" s="65"/>
      <c r="D1698" s="66"/>
      <c r="E1698" s="67"/>
      <c r="G1698" s="69"/>
    </row>
    <row r="1699" spans="1:7" s="68" customFormat="1" ht="15.6" x14ac:dyDescent="0.3">
      <c r="A1699" s="63"/>
      <c r="B1699" s="64"/>
      <c r="C1699" s="65"/>
      <c r="D1699" s="66"/>
      <c r="E1699" s="67"/>
      <c r="G1699" s="69"/>
    </row>
    <row r="1700" spans="1:7" s="68" customFormat="1" ht="15.6" x14ac:dyDescent="0.3">
      <c r="A1700" s="63"/>
      <c r="B1700" s="64"/>
      <c r="C1700" s="65"/>
      <c r="D1700" s="66"/>
      <c r="E1700" s="67"/>
      <c r="G1700" s="69"/>
    </row>
    <row r="1701" spans="1:7" s="68" customFormat="1" ht="15.6" x14ac:dyDescent="0.3">
      <c r="A1701" s="63"/>
      <c r="B1701" s="64"/>
      <c r="C1701" s="65"/>
      <c r="D1701" s="66"/>
      <c r="E1701" s="67"/>
      <c r="G1701" s="69"/>
    </row>
    <row r="1702" spans="1:7" s="68" customFormat="1" ht="15.6" x14ac:dyDescent="0.3">
      <c r="A1702" s="63"/>
      <c r="B1702" s="64"/>
      <c r="C1702" s="65"/>
      <c r="D1702" s="66"/>
      <c r="E1702" s="67"/>
      <c r="G1702" s="69"/>
    </row>
    <row r="1703" spans="1:7" s="68" customFormat="1" ht="15.6" x14ac:dyDescent="0.3">
      <c r="A1703" s="63"/>
      <c r="B1703" s="64"/>
      <c r="C1703" s="65"/>
      <c r="D1703" s="66"/>
      <c r="E1703" s="67"/>
      <c r="G1703" s="69"/>
    </row>
    <row r="1704" spans="1:7" s="68" customFormat="1" ht="15.6" x14ac:dyDescent="0.3">
      <c r="A1704" s="63"/>
      <c r="B1704" s="64"/>
      <c r="C1704" s="65"/>
      <c r="D1704" s="66"/>
      <c r="E1704" s="67"/>
      <c r="G1704" s="69"/>
    </row>
    <row r="1705" spans="1:7" s="68" customFormat="1" ht="15.6" x14ac:dyDescent="0.3">
      <c r="A1705" s="63"/>
      <c r="B1705" s="64"/>
      <c r="C1705" s="65"/>
      <c r="D1705" s="66"/>
      <c r="E1705" s="67"/>
      <c r="G1705" s="69"/>
    </row>
    <row r="1706" spans="1:7" s="68" customFormat="1" ht="15.6" x14ac:dyDescent="0.3">
      <c r="A1706" s="63"/>
      <c r="B1706" s="64"/>
      <c r="C1706" s="65"/>
      <c r="D1706" s="66"/>
      <c r="E1706" s="67"/>
      <c r="G1706" s="69"/>
    </row>
    <row r="1707" spans="1:7" s="68" customFormat="1" ht="15.6" x14ac:dyDescent="0.3">
      <c r="A1707" s="63"/>
      <c r="B1707" s="64"/>
      <c r="C1707" s="65"/>
      <c r="D1707" s="66"/>
      <c r="E1707" s="67"/>
      <c r="G1707" s="69"/>
    </row>
    <row r="1708" spans="1:7" s="68" customFormat="1" ht="15.6" x14ac:dyDescent="0.3">
      <c r="A1708" s="63"/>
      <c r="B1708" s="64"/>
      <c r="C1708" s="65"/>
      <c r="D1708" s="66"/>
      <c r="E1708" s="67"/>
      <c r="G1708" s="69"/>
    </row>
    <row r="1709" spans="1:7" s="68" customFormat="1" ht="15.6" x14ac:dyDescent="0.3">
      <c r="A1709" s="63"/>
      <c r="B1709" s="64"/>
      <c r="C1709" s="65"/>
      <c r="D1709" s="66"/>
      <c r="E1709" s="67"/>
      <c r="G1709" s="69"/>
    </row>
    <row r="1710" spans="1:7" s="68" customFormat="1" ht="15.6" x14ac:dyDescent="0.3">
      <c r="A1710" s="63"/>
      <c r="B1710" s="64"/>
      <c r="C1710" s="65"/>
      <c r="D1710" s="66"/>
      <c r="E1710" s="67"/>
      <c r="G1710" s="69"/>
    </row>
    <row r="1711" spans="1:7" s="68" customFormat="1" ht="15.6" x14ac:dyDescent="0.3">
      <c r="A1711" s="63"/>
      <c r="B1711" s="64"/>
      <c r="C1711" s="65"/>
      <c r="D1711" s="66"/>
      <c r="E1711" s="67"/>
      <c r="G1711" s="69"/>
    </row>
    <row r="1712" spans="1:7" s="68" customFormat="1" ht="15.6" x14ac:dyDescent="0.3">
      <c r="A1712" s="63"/>
      <c r="B1712" s="64"/>
      <c r="C1712" s="65"/>
      <c r="D1712" s="66"/>
      <c r="E1712" s="67"/>
      <c r="G1712" s="69"/>
    </row>
    <row r="1713" spans="1:7" s="68" customFormat="1" ht="15.6" x14ac:dyDescent="0.3">
      <c r="A1713" s="63"/>
      <c r="B1713" s="64"/>
      <c r="C1713" s="65"/>
      <c r="D1713" s="66"/>
      <c r="E1713" s="67"/>
      <c r="G1713" s="69"/>
    </row>
    <row r="1714" spans="1:7" s="68" customFormat="1" ht="15.6" x14ac:dyDescent="0.3">
      <c r="A1714" s="63"/>
      <c r="B1714" s="64"/>
      <c r="C1714" s="65"/>
      <c r="D1714" s="66"/>
      <c r="E1714" s="67"/>
      <c r="G1714" s="69"/>
    </row>
    <row r="1715" spans="1:7" s="68" customFormat="1" ht="15.6" x14ac:dyDescent="0.3">
      <c r="A1715" s="63"/>
      <c r="B1715" s="64"/>
      <c r="C1715" s="65"/>
      <c r="D1715" s="66"/>
      <c r="E1715" s="67"/>
      <c r="G1715" s="69"/>
    </row>
    <row r="1716" spans="1:7" s="68" customFormat="1" ht="15.6" x14ac:dyDescent="0.3">
      <c r="A1716" s="63"/>
      <c r="B1716" s="64"/>
      <c r="C1716" s="65"/>
      <c r="D1716" s="66"/>
      <c r="E1716" s="67"/>
      <c r="G1716" s="69"/>
    </row>
    <row r="1717" spans="1:7" s="68" customFormat="1" ht="15.6" x14ac:dyDescent="0.3">
      <c r="A1717" s="63"/>
      <c r="B1717" s="64"/>
      <c r="C1717" s="65"/>
      <c r="D1717" s="66"/>
      <c r="E1717" s="67"/>
      <c r="G1717" s="69"/>
    </row>
    <row r="1718" spans="1:7" s="68" customFormat="1" ht="15.6" x14ac:dyDescent="0.3">
      <c r="A1718" s="63"/>
      <c r="B1718" s="64"/>
      <c r="C1718" s="65"/>
      <c r="D1718" s="66"/>
      <c r="E1718" s="67"/>
      <c r="G1718" s="69"/>
    </row>
    <row r="1719" spans="1:7" s="68" customFormat="1" ht="15.6" x14ac:dyDescent="0.3">
      <c r="A1719" s="63"/>
      <c r="B1719" s="64"/>
      <c r="C1719" s="65"/>
      <c r="D1719" s="66"/>
      <c r="E1719" s="67"/>
      <c r="G1719" s="69"/>
    </row>
    <row r="1720" spans="1:7" s="68" customFormat="1" ht="15.6" x14ac:dyDescent="0.3">
      <c r="A1720" s="63"/>
      <c r="B1720" s="64"/>
      <c r="C1720" s="65"/>
      <c r="D1720" s="66"/>
      <c r="E1720" s="67"/>
      <c r="G1720" s="69"/>
    </row>
    <row r="1721" spans="1:7" s="68" customFormat="1" ht="15.6" x14ac:dyDescent="0.3">
      <c r="A1721" s="63"/>
      <c r="B1721" s="64"/>
      <c r="C1721" s="65"/>
      <c r="D1721" s="66"/>
      <c r="E1721" s="67"/>
      <c r="G1721" s="69"/>
    </row>
    <row r="1722" spans="1:7" s="68" customFormat="1" ht="15.6" x14ac:dyDescent="0.3">
      <c r="A1722" s="63"/>
      <c r="B1722" s="64"/>
      <c r="C1722" s="65"/>
      <c r="D1722" s="66"/>
      <c r="E1722" s="67"/>
      <c r="G1722" s="69"/>
    </row>
    <row r="1723" spans="1:7" s="68" customFormat="1" ht="15.6" x14ac:dyDescent="0.3">
      <c r="A1723" s="63"/>
      <c r="B1723" s="64"/>
      <c r="C1723" s="65"/>
      <c r="D1723" s="66"/>
      <c r="E1723" s="67"/>
      <c r="G1723" s="69"/>
    </row>
    <row r="1724" spans="1:7" s="68" customFormat="1" ht="15.6" x14ac:dyDescent="0.3">
      <c r="A1724" s="63"/>
      <c r="B1724" s="64"/>
      <c r="C1724" s="65"/>
      <c r="D1724" s="66"/>
      <c r="E1724" s="67"/>
      <c r="G1724" s="69"/>
    </row>
    <row r="1725" spans="1:7" s="68" customFormat="1" ht="15.6" x14ac:dyDescent="0.3">
      <c r="A1725" s="63"/>
      <c r="B1725" s="64"/>
      <c r="C1725" s="65"/>
      <c r="D1725" s="66"/>
      <c r="E1725" s="67"/>
      <c r="G1725" s="69"/>
    </row>
    <row r="1726" spans="1:7" s="68" customFormat="1" ht="15.6" x14ac:dyDescent="0.3">
      <c r="A1726" s="63"/>
      <c r="B1726" s="64"/>
      <c r="C1726" s="65"/>
      <c r="D1726" s="66"/>
      <c r="E1726" s="67"/>
      <c r="G1726" s="69"/>
    </row>
    <row r="1727" spans="1:7" s="68" customFormat="1" ht="15.6" x14ac:dyDescent="0.3">
      <c r="A1727" s="63"/>
      <c r="B1727" s="64"/>
      <c r="C1727" s="65"/>
      <c r="D1727" s="66"/>
      <c r="E1727" s="67"/>
      <c r="G1727" s="69"/>
    </row>
    <row r="1728" spans="1:7" s="68" customFormat="1" ht="15.6" x14ac:dyDescent="0.3">
      <c r="A1728" s="63"/>
      <c r="B1728" s="64"/>
      <c r="C1728" s="65"/>
      <c r="D1728" s="66"/>
      <c r="E1728" s="67"/>
      <c r="G1728" s="69"/>
    </row>
    <row r="1729" spans="1:7" s="68" customFormat="1" ht="15.6" x14ac:dyDescent="0.3">
      <c r="A1729" s="63"/>
      <c r="B1729" s="64"/>
      <c r="C1729" s="65"/>
      <c r="D1729" s="66"/>
      <c r="E1729" s="67"/>
      <c r="G1729" s="69"/>
    </row>
    <row r="1730" spans="1:7" s="68" customFormat="1" ht="15.6" x14ac:dyDescent="0.3">
      <c r="A1730" s="63"/>
      <c r="B1730" s="64"/>
      <c r="C1730" s="65"/>
      <c r="D1730" s="66"/>
      <c r="E1730" s="67"/>
      <c r="G1730" s="69"/>
    </row>
    <row r="1731" spans="1:7" s="68" customFormat="1" ht="15.6" x14ac:dyDescent="0.3">
      <c r="A1731" s="63"/>
      <c r="B1731" s="64"/>
      <c r="C1731" s="65"/>
      <c r="D1731" s="66"/>
      <c r="E1731" s="67"/>
      <c r="G1731" s="69"/>
    </row>
    <row r="1732" spans="1:7" s="68" customFormat="1" ht="15.6" x14ac:dyDescent="0.3">
      <c r="A1732" s="63"/>
      <c r="B1732" s="64"/>
      <c r="C1732" s="65"/>
      <c r="D1732" s="66"/>
      <c r="E1732" s="67"/>
      <c r="G1732" s="69"/>
    </row>
    <row r="1733" spans="1:7" s="68" customFormat="1" ht="15.6" x14ac:dyDescent="0.3">
      <c r="A1733" s="63"/>
      <c r="B1733" s="64"/>
      <c r="C1733" s="65"/>
      <c r="D1733" s="66"/>
      <c r="E1733" s="67"/>
      <c r="G1733" s="69"/>
    </row>
    <row r="1734" spans="1:7" s="68" customFormat="1" ht="15.6" x14ac:dyDescent="0.3">
      <c r="A1734" s="63"/>
      <c r="B1734" s="64"/>
      <c r="C1734" s="65"/>
      <c r="D1734" s="66"/>
      <c r="E1734" s="67"/>
      <c r="G1734" s="69"/>
    </row>
    <row r="1735" spans="1:7" s="68" customFormat="1" ht="15.6" x14ac:dyDescent="0.3">
      <c r="A1735" s="63"/>
      <c r="B1735" s="64"/>
      <c r="C1735" s="65"/>
      <c r="D1735" s="66"/>
      <c r="E1735" s="67"/>
      <c r="G1735" s="69"/>
    </row>
    <row r="1736" spans="1:7" s="68" customFormat="1" ht="15.6" x14ac:dyDescent="0.3">
      <c r="A1736" s="63"/>
      <c r="B1736" s="64"/>
      <c r="C1736" s="65"/>
      <c r="D1736" s="66"/>
      <c r="E1736" s="67"/>
      <c r="G1736" s="69"/>
    </row>
    <row r="1737" spans="1:7" s="68" customFormat="1" ht="15.6" x14ac:dyDescent="0.3">
      <c r="A1737" s="63"/>
      <c r="B1737" s="64"/>
      <c r="C1737" s="65"/>
      <c r="D1737" s="66"/>
      <c r="E1737" s="67"/>
      <c r="G1737" s="69"/>
    </row>
    <row r="1738" spans="1:7" s="68" customFormat="1" ht="15.6" x14ac:dyDescent="0.3">
      <c r="A1738" s="63"/>
      <c r="B1738" s="64"/>
      <c r="C1738" s="65"/>
      <c r="D1738" s="66"/>
      <c r="E1738" s="67"/>
      <c r="G1738" s="69"/>
    </row>
    <row r="1739" spans="1:7" s="68" customFormat="1" ht="15.6" x14ac:dyDescent="0.3">
      <c r="A1739" s="63"/>
      <c r="B1739" s="64"/>
      <c r="C1739" s="65"/>
      <c r="D1739" s="66"/>
      <c r="E1739" s="67"/>
      <c r="G1739" s="69"/>
    </row>
    <row r="1740" spans="1:7" s="68" customFormat="1" ht="15.6" x14ac:dyDescent="0.3">
      <c r="A1740" s="63"/>
      <c r="B1740" s="64"/>
      <c r="C1740" s="65"/>
      <c r="D1740" s="66"/>
      <c r="E1740" s="67"/>
      <c r="G1740" s="69"/>
    </row>
    <row r="1741" spans="1:7" s="68" customFormat="1" ht="15.6" x14ac:dyDescent="0.3">
      <c r="A1741" s="63"/>
      <c r="B1741" s="64"/>
      <c r="C1741" s="65"/>
      <c r="D1741" s="66"/>
      <c r="E1741" s="67"/>
      <c r="G1741" s="69"/>
    </row>
    <row r="1742" spans="1:7" s="68" customFormat="1" ht="15.6" x14ac:dyDescent="0.3">
      <c r="A1742" s="63"/>
      <c r="B1742" s="64"/>
      <c r="C1742" s="65"/>
      <c r="D1742" s="66"/>
      <c r="E1742" s="67"/>
      <c r="G1742" s="69"/>
    </row>
    <row r="1743" spans="1:7" s="68" customFormat="1" ht="15.6" x14ac:dyDescent="0.3">
      <c r="A1743" s="63"/>
      <c r="B1743" s="64"/>
      <c r="C1743" s="65"/>
      <c r="D1743" s="66"/>
      <c r="E1743" s="67"/>
      <c r="G1743" s="69"/>
    </row>
    <row r="1744" spans="1:7" s="68" customFormat="1" ht="15.6" x14ac:dyDescent="0.3">
      <c r="A1744" s="63"/>
      <c r="B1744" s="64"/>
      <c r="C1744" s="65"/>
      <c r="D1744" s="66"/>
      <c r="E1744" s="67"/>
      <c r="G1744" s="69"/>
    </row>
    <row r="1745" spans="1:7" s="68" customFormat="1" ht="15.6" x14ac:dyDescent="0.3">
      <c r="A1745" s="63"/>
      <c r="B1745" s="64"/>
      <c r="C1745" s="65"/>
      <c r="D1745" s="66"/>
      <c r="E1745" s="67"/>
      <c r="G1745" s="69"/>
    </row>
    <row r="1746" spans="1:7" s="68" customFormat="1" ht="15.6" x14ac:dyDescent="0.3">
      <c r="A1746" s="63"/>
      <c r="B1746" s="64"/>
      <c r="C1746" s="65"/>
      <c r="D1746" s="66"/>
      <c r="E1746" s="67"/>
      <c r="G1746" s="69"/>
    </row>
    <row r="1747" spans="1:7" s="68" customFormat="1" ht="15.6" x14ac:dyDescent="0.3">
      <c r="A1747" s="63"/>
      <c r="B1747" s="64"/>
      <c r="C1747" s="65"/>
      <c r="D1747" s="66"/>
      <c r="E1747" s="67"/>
      <c r="G1747" s="69"/>
    </row>
    <row r="1748" spans="1:7" s="68" customFormat="1" ht="15.6" x14ac:dyDescent="0.3">
      <c r="A1748" s="63"/>
      <c r="B1748" s="64"/>
      <c r="C1748" s="65"/>
      <c r="D1748" s="66"/>
      <c r="E1748" s="67"/>
      <c r="G1748" s="69"/>
    </row>
    <row r="1749" spans="1:7" s="68" customFormat="1" ht="15.6" x14ac:dyDescent="0.3">
      <c r="A1749" s="63"/>
      <c r="B1749" s="64"/>
      <c r="C1749" s="65"/>
      <c r="D1749" s="66"/>
      <c r="E1749" s="67"/>
      <c r="G1749" s="69"/>
    </row>
    <row r="1750" spans="1:7" s="68" customFormat="1" ht="15.6" x14ac:dyDescent="0.3">
      <c r="A1750" s="63"/>
      <c r="B1750" s="64"/>
      <c r="C1750" s="65"/>
      <c r="D1750" s="66"/>
      <c r="E1750" s="67"/>
      <c r="G1750" s="69"/>
    </row>
    <row r="1751" spans="1:7" s="68" customFormat="1" ht="15.6" x14ac:dyDescent="0.3">
      <c r="A1751" s="63"/>
      <c r="B1751" s="64"/>
      <c r="C1751" s="65"/>
      <c r="D1751" s="66"/>
      <c r="E1751" s="67"/>
      <c r="G1751" s="69"/>
    </row>
    <row r="1752" spans="1:7" s="68" customFormat="1" ht="15.6" x14ac:dyDescent="0.3">
      <c r="A1752" s="63"/>
      <c r="B1752" s="64"/>
      <c r="C1752" s="65"/>
      <c r="D1752" s="66"/>
      <c r="E1752" s="67"/>
      <c r="G1752" s="69"/>
    </row>
    <row r="1753" spans="1:7" s="68" customFormat="1" ht="15.6" x14ac:dyDescent="0.3">
      <c r="A1753" s="63"/>
      <c r="B1753" s="64"/>
      <c r="C1753" s="65"/>
      <c r="D1753" s="66"/>
      <c r="E1753" s="67"/>
      <c r="G1753" s="69"/>
    </row>
    <row r="1754" spans="1:7" s="68" customFormat="1" ht="15.6" x14ac:dyDescent="0.3">
      <c r="A1754" s="63"/>
      <c r="B1754" s="64"/>
      <c r="C1754" s="65"/>
      <c r="D1754" s="66"/>
      <c r="E1754" s="67"/>
      <c r="G1754" s="69"/>
    </row>
    <row r="1755" spans="1:7" s="68" customFormat="1" ht="15.6" x14ac:dyDescent="0.3">
      <c r="A1755" s="63"/>
      <c r="B1755" s="64"/>
      <c r="C1755" s="65"/>
      <c r="D1755" s="66"/>
      <c r="E1755" s="67"/>
      <c r="G1755" s="69"/>
    </row>
    <row r="1756" spans="1:7" s="68" customFormat="1" ht="15.6" x14ac:dyDescent="0.3">
      <c r="A1756" s="63"/>
      <c r="B1756" s="64"/>
      <c r="C1756" s="65"/>
      <c r="D1756" s="66"/>
      <c r="E1756" s="67"/>
      <c r="G1756" s="69"/>
    </row>
    <row r="1757" spans="1:7" s="68" customFormat="1" ht="15.6" x14ac:dyDescent="0.3">
      <c r="A1757" s="63"/>
      <c r="B1757" s="64"/>
      <c r="C1757" s="65"/>
      <c r="D1757" s="66"/>
      <c r="E1757" s="67"/>
      <c r="G1757" s="69"/>
    </row>
    <row r="1758" spans="1:7" s="68" customFormat="1" ht="15.6" x14ac:dyDescent="0.3">
      <c r="A1758" s="63"/>
      <c r="B1758" s="64"/>
      <c r="C1758" s="65"/>
      <c r="D1758" s="66"/>
      <c r="E1758" s="67"/>
      <c r="G1758" s="69"/>
    </row>
    <row r="1759" spans="1:7" s="68" customFormat="1" ht="15.6" x14ac:dyDescent="0.3">
      <c r="A1759" s="63"/>
      <c r="B1759" s="64"/>
      <c r="C1759" s="65"/>
      <c r="D1759" s="66"/>
      <c r="E1759" s="67"/>
      <c r="G1759" s="69"/>
    </row>
    <row r="1760" spans="1:7" s="68" customFormat="1" ht="15.6" x14ac:dyDescent="0.3">
      <c r="A1760" s="63"/>
      <c r="B1760" s="64"/>
      <c r="C1760" s="65"/>
      <c r="D1760" s="66"/>
      <c r="E1760" s="67"/>
      <c r="G1760" s="69"/>
    </row>
    <row r="1761" spans="1:7" s="68" customFormat="1" ht="15.6" x14ac:dyDescent="0.3">
      <c r="A1761" s="63"/>
      <c r="B1761" s="64"/>
      <c r="C1761" s="65"/>
      <c r="D1761" s="66"/>
      <c r="E1761" s="67"/>
      <c r="G1761" s="69"/>
    </row>
    <row r="1762" spans="1:7" s="68" customFormat="1" ht="15.6" x14ac:dyDescent="0.3">
      <c r="A1762" s="63"/>
      <c r="B1762" s="64"/>
      <c r="C1762" s="65"/>
      <c r="D1762" s="66"/>
      <c r="E1762" s="67"/>
      <c r="G1762" s="69"/>
    </row>
    <row r="1763" spans="1:7" s="68" customFormat="1" ht="15.6" x14ac:dyDescent="0.3">
      <c r="A1763" s="63"/>
      <c r="B1763" s="64"/>
      <c r="C1763" s="65"/>
      <c r="D1763" s="66"/>
      <c r="E1763" s="67"/>
      <c r="G1763" s="69"/>
    </row>
    <row r="1764" spans="1:7" s="68" customFormat="1" ht="15.6" x14ac:dyDescent="0.3">
      <c r="A1764" s="63"/>
      <c r="B1764" s="64"/>
      <c r="C1764" s="65"/>
      <c r="D1764" s="66"/>
      <c r="E1764" s="67"/>
      <c r="G1764" s="69"/>
    </row>
    <row r="1765" spans="1:7" s="68" customFormat="1" ht="15.6" x14ac:dyDescent="0.3">
      <c r="A1765" s="63"/>
      <c r="B1765" s="64"/>
      <c r="C1765" s="65"/>
      <c r="D1765" s="66"/>
      <c r="E1765" s="67"/>
      <c r="G1765" s="69"/>
    </row>
    <row r="1766" spans="1:7" s="68" customFormat="1" ht="15.6" x14ac:dyDescent="0.3">
      <c r="A1766" s="63"/>
      <c r="B1766" s="64"/>
      <c r="C1766" s="65"/>
      <c r="D1766" s="66"/>
      <c r="E1766" s="67"/>
      <c r="G1766" s="69"/>
    </row>
    <row r="1767" spans="1:7" s="68" customFormat="1" ht="15.6" x14ac:dyDescent="0.3">
      <c r="A1767" s="63"/>
      <c r="B1767" s="64"/>
      <c r="C1767" s="65"/>
      <c r="D1767" s="66"/>
      <c r="E1767" s="67"/>
      <c r="G1767" s="69"/>
    </row>
    <row r="1768" spans="1:7" s="68" customFormat="1" ht="15.6" x14ac:dyDescent="0.3">
      <c r="A1768" s="63"/>
      <c r="B1768" s="64"/>
      <c r="C1768" s="65"/>
      <c r="D1768" s="66"/>
      <c r="E1768" s="67"/>
      <c r="G1768" s="69"/>
    </row>
    <row r="1769" spans="1:7" s="68" customFormat="1" ht="15.6" x14ac:dyDescent="0.3">
      <c r="A1769" s="63"/>
      <c r="B1769" s="64"/>
      <c r="C1769" s="65"/>
      <c r="D1769" s="66"/>
      <c r="E1769" s="67"/>
      <c r="G1769" s="69"/>
    </row>
    <row r="1770" spans="1:7" s="68" customFormat="1" ht="15.6" x14ac:dyDescent="0.3">
      <c r="A1770" s="63"/>
      <c r="B1770" s="64"/>
      <c r="C1770" s="65"/>
      <c r="D1770" s="66"/>
      <c r="E1770" s="67"/>
      <c r="G1770" s="69"/>
    </row>
    <row r="1771" spans="1:7" s="68" customFormat="1" x14ac:dyDescent="0.3">
      <c r="B1771" s="67"/>
      <c r="C1771" s="70"/>
      <c r="D1771" s="67"/>
      <c r="E1771" s="67"/>
      <c r="G1771" s="69"/>
    </row>
  </sheetData>
  <mergeCells count="3">
    <mergeCell ref="F1:M1"/>
    <mergeCell ref="F18:J19"/>
    <mergeCell ref="L18:O19"/>
  </mergeCells>
  <dataValidations count="1">
    <dataValidation type="list" allowBlank="1" showInputMessage="1" showErrorMessage="1" sqref="M20" xr:uid="{2888B907-7A02-4CA6-9A41-3EE26D1ABE76}">
      <formula1>$F$4:$F$15</formula1>
    </dataValidation>
  </dataValidations>
  <pageMargins left="0.511811024" right="0.511811024" top="0.78740157499999996" bottom="0.78740157499999996" header="0.31496062000000002" footer="0.31496062000000002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19A2-783D-4736-B607-694D56B217DF}">
  <sheetPr>
    <tabColor theme="6" tint="0.39997558519241921"/>
  </sheetPr>
  <dimension ref="A1:D105"/>
  <sheetViews>
    <sheetView workbookViewId="0">
      <selection activeCell="B3" sqref="B3"/>
    </sheetView>
  </sheetViews>
  <sheetFormatPr defaultRowHeight="14.4" x14ac:dyDescent="0.3"/>
  <cols>
    <col min="1" max="1" width="35.44140625" customWidth="1"/>
    <col min="2" max="2" width="19.44140625" customWidth="1"/>
    <col min="3" max="3" width="35.33203125" bestFit="1" customWidth="1"/>
    <col min="4" max="4" width="25.88671875" customWidth="1"/>
    <col min="5" max="5" width="28" customWidth="1"/>
  </cols>
  <sheetData>
    <row r="1" spans="1:4" ht="14.4" customHeight="1" x14ac:dyDescent="0.3">
      <c r="A1" s="86" t="s">
        <v>128</v>
      </c>
      <c r="B1" s="86"/>
      <c r="C1" s="86"/>
      <c r="D1" s="86"/>
    </row>
    <row r="2" spans="1:4" ht="14.4" customHeight="1" x14ac:dyDescent="0.3">
      <c r="A2" s="86"/>
      <c r="B2" s="86"/>
      <c r="C2" s="86"/>
      <c r="D2" s="86"/>
    </row>
    <row r="3" spans="1:4" ht="15.6" x14ac:dyDescent="0.3">
      <c r="A3" s="35" t="s">
        <v>129</v>
      </c>
      <c r="B3" s="34"/>
      <c r="C3" s="3"/>
      <c r="D3" s="3"/>
    </row>
    <row r="4" spans="1:4" ht="15.6" x14ac:dyDescent="0.3">
      <c r="A4" s="36" t="s">
        <v>153</v>
      </c>
      <c r="B4" s="12" t="s">
        <v>151</v>
      </c>
      <c r="C4" s="36" t="s">
        <v>154</v>
      </c>
      <c r="D4" s="12" t="s">
        <v>152</v>
      </c>
    </row>
    <row r="5" spans="1:4" x14ac:dyDescent="0.3">
      <c r="A5" t="s">
        <v>4</v>
      </c>
      <c r="B5" s="1">
        <v>232744.75</v>
      </c>
      <c r="C5" t="s">
        <v>4</v>
      </c>
      <c r="D5" s="1">
        <v>221129.68</v>
      </c>
    </row>
    <row r="6" spans="1:4" x14ac:dyDescent="0.3">
      <c r="A6" t="s">
        <v>2</v>
      </c>
      <c r="B6" s="1">
        <v>220603.49</v>
      </c>
      <c r="C6" t="s">
        <v>1</v>
      </c>
      <c r="D6" s="1">
        <v>211834.38</v>
      </c>
    </row>
    <row r="7" spans="1:4" x14ac:dyDescent="0.3">
      <c r="A7" t="s">
        <v>1</v>
      </c>
      <c r="B7" s="1">
        <v>209831.35</v>
      </c>
      <c r="C7" t="s">
        <v>0</v>
      </c>
      <c r="D7" s="1">
        <v>157013.47</v>
      </c>
    </row>
    <row r="8" spans="1:4" x14ac:dyDescent="0.3">
      <c r="A8" t="s">
        <v>0</v>
      </c>
      <c r="B8" s="1">
        <v>184682.27</v>
      </c>
      <c r="C8" t="s">
        <v>2</v>
      </c>
      <c r="D8" s="1">
        <v>153197.1</v>
      </c>
    </row>
    <row r="9" spans="1:4" x14ac:dyDescent="0.3">
      <c r="A9" t="s">
        <v>6</v>
      </c>
      <c r="B9" s="1">
        <v>178689.55</v>
      </c>
      <c r="C9" t="s">
        <v>3</v>
      </c>
      <c r="D9" s="1">
        <v>118446.92</v>
      </c>
    </row>
    <row r="10" spans="1:4" x14ac:dyDescent="0.3">
      <c r="A10" t="s">
        <v>16</v>
      </c>
      <c r="B10" s="1">
        <v>124362.27</v>
      </c>
      <c r="C10" t="s">
        <v>8</v>
      </c>
      <c r="D10" s="1">
        <v>96389.2</v>
      </c>
    </row>
    <row r="11" spans="1:4" x14ac:dyDescent="0.3">
      <c r="A11" t="s">
        <v>3</v>
      </c>
      <c r="B11" s="1">
        <v>119077.16</v>
      </c>
      <c r="C11" t="s">
        <v>12</v>
      </c>
      <c r="D11" s="1">
        <v>72694.87</v>
      </c>
    </row>
    <row r="12" spans="1:4" x14ac:dyDescent="0.3">
      <c r="A12" t="s">
        <v>8</v>
      </c>
      <c r="B12" s="1">
        <v>86358.43</v>
      </c>
      <c r="C12" t="s">
        <v>6</v>
      </c>
      <c r="D12" s="1">
        <v>58579.4</v>
      </c>
    </row>
    <row r="13" spans="1:4" x14ac:dyDescent="0.3">
      <c r="A13" t="s">
        <v>15</v>
      </c>
      <c r="B13" s="1">
        <v>74945.05</v>
      </c>
      <c r="C13" t="s">
        <v>14</v>
      </c>
      <c r="D13" s="1">
        <v>56829.31</v>
      </c>
    </row>
    <row r="14" spans="1:4" x14ac:dyDescent="0.3">
      <c r="A14" t="s">
        <v>10</v>
      </c>
      <c r="B14" s="1">
        <v>55813.3</v>
      </c>
      <c r="C14" t="s">
        <v>10</v>
      </c>
      <c r="D14" s="1">
        <v>49734.37</v>
      </c>
    </row>
    <row r="15" spans="1:4" x14ac:dyDescent="0.3">
      <c r="A15" t="s">
        <v>12</v>
      </c>
      <c r="B15" s="1">
        <v>52743.23</v>
      </c>
      <c r="C15" t="s">
        <v>9</v>
      </c>
      <c r="D15" s="1">
        <v>44156.62</v>
      </c>
    </row>
    <row r="16" spans="1:4" x14ac:dyDescent="0.3">
      <c r="A16" t="s">
        <v>146</v>
      </c>
      <c r="B16" s="1">
        <v>45041.21</v>
      </c>
      <c r="C16" t="s">
        <v>15</v>
      </c>
      <c r="D16" s="1">
        <v>43178.79</v>
      </c>
    </row>
    <row r="17" spans="1:4" x14ac:dyDescent="0.3">
      <c r="A17" t="s">
        <v>14</v>
      </c>
      <c r="B17" s="1">
        <v>38091.870000000003</v>
      </c>
      <c r="C17" t="s">
        <v>11</v>
      </c>
      <c r="D17" s="1">
        <v>42589.62</v>
      </c>
    </row>
    <row r="18" spans="1:4" x14ac:dyDescent="0.3">
      <c r="A18" t="s">
        <v>9</v>
      </c>
      <c r="B18" s="1">
        <v>37044.47</v>
      </c>
      <c r="C18" t="s">
        <v>16</v>
      </c>
      <c r="D18" s="1">
        <v>24526.66</v>
      </c>
    </row>
    <row r="19" spans="1:4" x14ac:dyDescent="0.3">
      <c r="A19" t="s">
        <v>11</v>
      </c>
      <c r="B19" s="1">
        <v>36020.699999999997</v>
      </c>
      <c r="C19" t="s">
        <v>13</v>
      </c>
      <c r="D19" s="1">
        <v>23777.45</v>
      </c>
    </row>
    <row r="20" spans="1:4" x14ac:dyDescent="0.3">
      <c r="A20" t="s">
        <v>20</v>
      </c>
      <c r="B20" s="1">
        <v>28931.16</v>
      </c>
      <c r="C20" t="s">
        <v>7</v>
      </c>
      <c r="D20" s="1">
        <v>20030.740000000002</v>
      </c>
    </row>
    <row r="21" spans="1:4" x14ac:dyDescent="0.3">
      <c r="A21" t="s">
        <v>7</v>
      </c>
      <c r="B21" s="1">
        <v>20144.11</v>
      </c>
      <c r="C21" t="s">
        <v>17</v>
      </c>
      <c r="D21" s="1">
        <v>18792.68</v>
      </c>
    </row>
    <row r="22" spans="1:4" x14ac:dyDescent="0.3">
      <c r="A22" t="s">
        <v>13</v>
      </c>
      <c r="B22" s="1">
        <v>19931.18</v>
      </c>
      <c r="C22" t="s">
        <v>21</v>
      </c>
      <c r="D22" s="1">
        <v>14207.44</v>
      </c>
    </row>
    <row r="23" spans="1:4" x14ac:dyDescent="0.3">
      <c r="A23" t="s">
        <v>21</v>
      </c>
      <c r="B23" s="1">
        <v>12523.65</v>
      </c>
      <c r="C23" t="s">
        <v>24</v>
      </c>
      <c r="D23" s="1">
        <v>14056.24</v>
      </c>
    </row>
    <row r="24" spans="1:4" x14ac:dyDescent="0.3">
      <c r="A24" t="s">
        <v>130</v>
      </c>
      <c r="B24" s="1">
        <v>12508.38</v>
      </c>
      <c r="C24" t="s">
        <v>5</v>
      </c>
      <c r="D24" s="1">
        <v>13433.08</v>
      </c>
    </row>
    <row r="25" spans="1:4" x14ac:dyDescent="0.3">
      <c r="A25" t="s">
        <v>17</v>
      </c>
      <c r="B25" s="1">
        <v>11546.96</v>
      </c>
      <c r="C25" t="s">
        <v>26</v>
      </c>
      <c r="D25" s="1">
        <v>11480.89</v>
      </c>
    </row>
    <row r="26" spans="1:4" x14ac:dyDescent="0.3">
      <c r="A26" t="s">
        <v>5</v>
      </c>
      <c r="B26" s="1">
        <v>9884.5400000000009</v>
      </c>
      <c r="C26" t="s">
        <v>23</v>
      </c>
      <c r="D26" s="1">
        <v>10057.9</v>
      </c>
    </row>
    <row r="27" spans="1:4" x14ac:dyDescent="0.3">
      <c r="A27" t="s">
        <v>30</v>
      </c>
      <c r="B27" s="1">
        <v>7758.47</v>
      </c>
      <c r="C27" t="s">
        <v>29</v>
      </c>
      <c r="D27" s="1">
        <v>9175.4500000000007</v>
      </c>
    </row>
    <row r="28" spans="1:4" x14ac:dyDescent="0.3">
      <c r="A28" t="s">
        <v>25</v>
      </c>
      <c r="B28" s="1">
        <v>7158.24</v>
      </c>
      <c r="C28" t="s">
        <v>20</v>
      </c>
      <c r="D28" s="1">
        <v>8864.25</v>
      </c>
    </row>
    <row r="29" spans="1:4" x14ac:dyDescent="0.3">
      <c r="A29" t="s">
        <v>19</v>
      </c>
      <c r="B29" s="1">
        <v>7002.63</v>
      </c>
      <c r="C29" t="s">
        <v>19</v>
      </c>
      <c r="D29" s="1">
        <v>7969.67</v>
      </c>
    </row>
    <row r="30" spans="1:4" x14ac:dyDescent="0.3">
      <c r="A30" t="s">
        <v>24</v>
      </c>
      <c r="B30" s="1">
        <v>6578.42</v>
      </c>
      <c r="C30" t="s">
        <v>130</v>
      </c>
      <c r="D30" s="1">
        <v>6231.69</v>
      </c>
    </row>
    <row r="31" spans="1:4" x14ac:dyDescent="0.3">
      <c r="A31" t="s">
        <v>42</v>
      </c>
      <c r="B31" s="1">
        <v>5801</v>
      </c>
      <c r="C31" t="s">
        <v>38</v>
      </c>
      <c r="D31" s="1">
        <v>6091.07</v>
      </c>
    </row>
    <row r="32" spans="1:4" x14ac:dyDescent="0.3">
      <c r="A32" t="s">
        <v>29</v>
      </c>
      <c r="B32" s="1">
        <v>5730.17</v>
      </c>
      <c r="C32" t="s">
        <v>18</v>
      </c>
      <c r="D32" s="1">
        <v>5905.19</v>
      </c>
    </row>
    <row r="33" spans="1:4" x14ac:dyDescent="0.3">
      <c r="A33" t="s">
        <v>38</v>
      </c>
      <c r="B33" s="1">
        <v>5607.62</v>
      </c>
      <c r="C33" t="s">
        <v>74</v>
      </c>
      <c r="D33" s="1">
        <v>5757.36</v>
      </c>
    </row>
    <row r="34" spans="1:4" x14ac:dyDescent="0.3">
      <c r="A34" t="s">
        <v>40</v>
      </c>
      <c r="B34" s="1">
        <v>5585.97</v>
      </c>
      <c r="C34" t="s">
        <v>41</v>
      </c>
      <c r="D34" s="1">
        <v>5214.3900000000003</v>
      </c>
    </row>
    <row r="35" spans="1:4" x14ac:dyDescent="0.3">
      <c r="A35" t="s">
        <v>32</v>
      </c>
      <c r="B35" s="1">
        <v>5365.89</v>
      </c>
      <c r="C35" t="s">
        <v>40</v>
      </c>
      <c r="D35" s="1">
        <v>4969.38</v>
      </c>
    </row>
    <row r="36" spans="1:4" x14ac:dyDescent="0.3">
      <c r="A36" t="s">
        <v>74</v>
      </c>
      <c r="B36" s="1">
        <v>5006.29</v>
      </c>
      <c r="C36" t="s">
        <v>43</v>
      </c>
      <c r="D36" s="1">
        <v>4870.9399999999996</v>
      </c>
    </row>
    <row r="37" spans="1:4" x14ac:dyDescent="0.3">
      <c r="A37" t="s">
        <v>95</v>
      </c>
      <c r="B37" s="1">
        <v>4561.5600000000004</v>
      </c>
      <c r="C37" t="s">
        <v>32</v>
      </c>
      <c r="D37" s="1">
        <v>4087.6</v>
      </c>
    </row>
    <row r="38" spans="1:4" x14ac:dyDescent="0.3">
      <c r="A38" t="s">
        <v>26</v>
      </c>
      <c r="B38" s="1">
        <v>4033.17</v>
      </c>
      <c r="C38" t="s">
        <v>46</v>
      </c>
      <c r="D38" s="1">
        <v>3688.92</v>
      </c>
    </row>
    <row r="39" spans="1:4" x14ac:dyDescent="0.3">
      <c r="A39" t="s">
        <v>39</v>
      </c>
      <c r="B39" s="1">
        <v>3585.14</v>
      </c>
      <c r="C39" t="s">
        <v>33</v>
      </c>
      <c r="D39" s="1">
        <v>3622.34</v>
      </c>
    </row>
    <row r="40" spans="1:4" x14ac:dyDescent="0.3">
      <c r="A40" t="s">
        <v>145</v>
      </c>
      <c r="B40" s="1">
        <v>3466.32</v>
      </c>
      <c r="C40" t="s">
        <v>30</v>
      </c>
      <c r="D40" s="1">
        <v>3175.75</v>
      </c>
    </row>
    <row r="41" spans="1:4" x14ac:dyDescent="0.3">
      <c r="A41" t="s">
        <v>27</v>
      </c>
      <c r="B41" s="1">
        <v>3392</v>
      </c>
      <c r="C41" t="s">
        <v>39</v>
      </c>
      <c r="D41" s="1">
        <v>2747.97</v>
      </c>
    </row>
    <row r="42" spans="1:4" x14ac:dyDescent="0.3">
      <c r="A42" t="s">
        <v>23</v>
      </c>
      <c r="B42" s="1">
        <v>3203.39</v>
      </c>
      <c r="C42" t="s">
        <v>90</v>
      </c>
      <c r="D42" s="1">
        <v>2606.11</v>
      </c>
    </row>
    <row r="43" spans="1:4" x14ac:dyDescent="0.3">
      <c r="A43" t="s">
        <v>41</v>
      </c>
      <c r="B43" s="1">
        <v>2953.34</v>
      </c>
      <c r="C43" t="s">
        <v>42</v>
      </c>
      <c r="D43" s="1">
        <v>2500.61</v>
      </c>
    </row>
    <row r="44" spans="1:4" x14ac:dyDescent="0.3">
      <c r="A44" t="s">
        <v>46</v>
      </c>
      <c r="B44" s="1">
        <v>2560.0500000000002</v>
      </c>
      <c r="C44" t="s">
        <v>61</v>
      </c>
      <c r="D44" s="1">
        <v>2355.42</v>
      </c>
    </row>
    <row r="45" spans="1:4" x14ac:dyDescent="0.3">
      <c r="A45" t="s">
        <v>33</v>
      </c>
      <c r="B45" s="1">
        <v>2519.06</v>
      </c>
      <c r="C45" t="s">
        <v>45</v>
      </c>
      <c r="D45" s="1">
        <v>1965.07</v>
      </c>
    </row>
    <row r="46" spans="1:4" x14ac:dyDescent="0.3">
      <c r="A46" t="s">
        <v>51</v>
      </c>
      <c r="B46" s="1">
        <v>2422.14</v>
      </c>
      <c r="C46" t="s">
        <v>67</v>
      </c>
      <c r="D46" s="1">
        <v>1823.12</v>
      </c>
    </row>
    <row r="47" spans="1:4" x14ac:dyDescent="0.3">
      <c r="A47" t="s">
        <v>63</v>
      </c>
      <c r="B47" s="1">
        <v>2203.81</v>
      </c>
      <c r="C47" t="s">
        <v>35</v>
      </c>
      <c r="D47" s="1">
        <v>1790.96</v>
      </c>
    </row>
    <row r="48" spans="1:4" x14ac:dyDescent="0.3">
      <c r="A48" t="s">
        <v>45</v>
      </c>
      <c r="B48" s="1">
        <v>1659.46</v>
      </c>
      <c r="C48" t="s">
        <v>54</v>
      </c>
      <c r="D48" s="1">
        <v>1601.22</v>
      </c>
    </row>
    <row r="49" spans="1:4" x14ac:dyDescent="0.3">
      <c r="A49" t="s">
        <v>54</v>
      </c>
      <c r="B49" s="1">
        <v>1653.77</v>
      </c>
      <c r="C49" t="s">
        <v>47</v>
      </c>
      <c r="D49" s="1">
        <v>1515.93</v>
      </c>
    </row>
    <row r="50" spans="1:4" x14ac:dyDescent="0.3">
      <c r="A50" t="s">
        <v>43</v>
      </c>
      <c r="B50" s="1">
        <v>1379.33</v>
      </c>
      <c r="C50" t="s">
        <v>37</v>
      </c>
      <c r="D50" s="1">
        <v>1370.83</v>
      </c>
    </row>
    <row r="51" spans="1:4" x14ac:dyDescent="0.3">
      <c r="A51" t="s">
        <v>47</v>
      </c>
      <c r="B51" s="1">
        <v>1376.17</v>
      </c>
      <c r="C51" t="s">
        <v>25</v>
      </c>
      <c r="D51" s="1">
        <v>1117.02</v>
      </c>
    </row>
    <row r="52" spans="1:4" x14ac:dyDescent="0.3">
      <c r="A52" t="s">
        <v>35</v>
      </c>
      <c r="B52" s="1">
        <v>1042.27</v>
      </c>
      <c r="C52" t="s">
        <v>53</v>
      </c>
      <c r="D52" s="1">
        <v>1105.58</v>
      </c>
    </row>
    <row r="53" spans="1:4" x14ac:dyDescent="0.3">
      <c r="A53" t="s">
        <v>37</v>
      </c>
      <c r="B53" s="1">
        <v>953.75</v>
      </c>
      <c r="C53" t="s">
        <v>63</v>
      </c>
      <c r="D53" s="1">
        <v>1041.01</v>
      </c>
    </row>
    <row r="54" spans="1:4" x14ac:dyDescent="0.3">
      <c r="A54" t="s">
        <v>49</v>
      </c>
      <c r="B54" s="1">
        <v>884.32</v>
      </c>
      <c r="C54" t="s">
        <v>64</v>
      </c>
      <c r="D54" s="1">
        <v>968.56</v>
      </c>
    </row>
    <row r="55" spans="1:4" x14ac:dyDescent="0.3">
      <c r="A55" t="s">
        <v>28</v>
      </c>
      <c r="B55" s="1">
        <v>867.74</v>
      </c>
      <c r="C55" t="s">
        <v>27</v>
      </c>
      <c r="D55" s="1">
        <v>952.83</v>
      </c>
    </row>
    <row r="56" spans="1:4" x14ac:dyDescent="0.3">
      <c r="A56" t="s">
        <v>61</v>
      </c>
      <c r="B56" s="1">
        <v>835.12</v>
      </c>
      <c r="C56" t="s">
        <v>51</v>
      </c>
      <c r="D56" s="1">
        <v>781.83</v>
      </c>
    </row>
    <row r="57" spans="1:4" x14ac:dyDescent="0.3">
      <c r="A57" t="s">
        <v>64</v>
      </c>
      <c r="B57" s="1">
        <v>761.5</v>
      </c>
      <c r="C57" t="s">
        <v>58</v>
      </c>
      <c r="D57" s="1">
        <v>776.26</v>
      </c>
    </row>
    <row r="58" spans="1:4" x14ac:dyDescent="0.3">
      <c r="A58" t="s">
        <v>67</v>
      </c>
      <c r="B58" s="1">
        <v>737.13</v>
      </c>
      <c r="C58" t="s">
        <v>95</v>
      </c>
      <c r="D58" s="1">
        <v>760.26</v>
      </c>
    </row>
    <row r="59" spans="1:4" x14ac:dyDescent="0.3">
      <c r="A59" t="s">
        <v>50</v>
      </c>
      <c r="B59" s="1">
        <v>713.83</v>
      </c>
      <c r="C59" t="s">
        <v>44</v>
      </c>
      <c r="D59" s="1">
        <v>760.05</v>
      </c>
    </row>
    <row r="60" spans="1:4" x14ac:dyDescent="0.3">
      <c r="A60" t="s">
        <v>62</v>
      </c>
      <c r="B60" s="1">
        <v>690.6</v>
      </c>
      <c r="C60" t="s">
        <v>65</v>
      </c>
      <c r="D60" s="1">
        <v>690.57</v>
      </c>
    </row>
    <row r="61" spans="1:4" x14ac:dyDescent="0.3">
      <c r="A61" t="s">
        <v>56</v>
      </c>
      <c r="B61" s="1">
        <v>596.54</v>
      </c>
      <c r="C61" t="s">
        <v>68</v>
      </c>
      <c r="D61" s="1">
        <v>665.41</v>
      </c>
    </row>
    <row r="62" spans="1:4" x14ac:dyDescent="0.3">
      <c r="A62" t="s">
        <v>76</v>
      </c>
      <c r="B62" s="1">
        <v>568.88</v>
      </c>
      <c r="C62" t="s">
        <v>50</v>
      </c>
      <c r="D62" s="1">
        <v>599.82000000000005</v>
      </c>
    </row>
    <row r="63" spans="1:4" x14ac:dyDescent="0.3">
      <c r="A63" t="s">
        <v>31</v>
      </c>
      <c r="B63" s="1">
        <v>565.58000000000004</v>
      </c>
      <c r="C63" t="s">
        <v>145</v>
      </c>
      <c r="D63" s="1">
        <v>535.79999999999995</v>
      </c>
    </row>
    <row r="64" spans="1:4" x14ac:dyDescent="0.3">
      <c r="A64" t="s">
        <v>90</v>
      </c>
      <c r="B64" s="1">
        <v>537.33000000000004</v>
      </c>
      <c r="C64" t="s">
        <v>55</v>
      </c>
      <c r="D64" s="1">
        <v>533.29</v>
      </c>
    </row>
    <row r="65" spans="1:4" x14ac:dyDescent="0.3">
      <c r="A65" t="s">
        <v>18</v>
      </c>
      <c r="B65" s="1">
        <v>529.88</v>
      </c>
      <c r="C65" t="s">
        <v>49</v>
      </c>
      <c r="D65" s="1">
        <v>501.96</v>
      </c>
    </row>
    <row r="66" spans="1:4" x14ac:dyDescent="0.3">
      <c r="A66" t="s">
        <v>149</v>
      </c>
      <c r="B66" s="1">
        <v>490.5</v>
      </c>
      <c r="C66" t="s">
        <v>34</v>
      </c>
      <c r="D66" s="1">
        <v>488.87</v>
      </c>
    </row>
    <row r="67" spans="1:4" x14ac:dyDescent="0.3">
      <c r="A67" t="s">
        <v>60</v>
      </c>
      <c r="B67" s="1">
        <v>442.08</v>
      </c>
      <c r="C67" t="s">
        <v>28</v>
      </c>
      <c r="D67" s="1">
        <v>463.29</v>
      </c>
    </row>
    <row r="68" spans="1:4" x14ac:dyDescent="0.3">
      <c r="A68" t="s">
        <v>34</v>
      </c>
      <c r="B68" s="1">
        <v>411.73</v>
      </c>
      <c r="C68" t="s">
        <v>62</v>
      </c>
      <c r="D68" s="1">
        <v>455.86</v>
      </c>
    </row>
    <row r="69" spans="1:4" x14ac:dyDescent="0.3">
      <c r="A69" t="s">
        <v>65</v>
      </c>
      <c r="B69" s="1">
        <v>384.38</v>
      </c>
      <c r="C69" t="s">
        <v>146</v>
      </c>
      <c r="D69" s="1">
        <v>435.4</v>
      </c>
    </row>
    <row r="70" spans="1:4" x14ac:dyDescent="0.3">
      <c r="A70" t="s">
        <v>55</v>
      </c>
      <c r="B70" s="1">
        <v>381.85</v>
      </c>
      <c r="C70" t="s">
        <v>52</v>
      </c>
      <c r="D70" s="1">
        <v>414.94</v>
      </c>
    </row>
    <row r="71" spans="1:4" x14ac:dyDescent="0.3">
      <c r="A71" t="s">
        <v>75</v>
      </c>
      <c r="B71" s="1">
        <v>294.76</v>
      </c>
      <c r="C71" t="s">
        <v>60</v>
      </c>
      <c r="D71" s="1">
        <v>405.56</v>
      </c>
    </row>
    <row r="72" spans="1:4" x14ac:dyDescent="0.3">
      <c r="A72" t="s">
        <v>52</v>
      </c>
      <c r="B72" s="1">
        <v>233.38</v>
      </c>
      <c r="C72" t="s">
        <v>84</v>
      </c>
      <c r="D72" s="1">
        <v>333.66</v>
      </c>
    </row>
    <row r="73" spans="1:4" x14ac:dyDescent="0.3">
      <c r="A73" t="s">
        <v>44</v>
      </c>
      <c r="B73" s="1">
        <v>215.99</v>
      </c>
      <c r="C73" t="s">
        <v>96</v>
      </c>
      <c r="D73" s="1">
        <v>292.76</v>
      </c>
    </row>
    <row r="74" spans="1:4" x14ac:dyDescent="0.3">
      <c r="A74" t="s">
        <v>37</v>
      </c>
      <c r="B74" s="1">
        <v>196.64</v>
      </c>
      <c r="C74" t="s">
        <v>71</v>
      </c>
      <c r="D74" s="1">
        <v>276.2</v>
      </c>
    </row>
    <row r="75" spans="1:4" x14ac:dyDescent="0.3">
      <c r="A75" t="s">
        <v>53</v>
      </c>
      <c r="B75" s="1">
        <v>184.85</v>
      </c>
      <c r="C75" t="s">
        <v>22</v>
      </c>
      <c r="D75" s="1">
        <v>250.17</v>
      </c>
    </row>
    <row r="76" spans="1:4" x14ac:dyDescent="0.3">
      <c r="A76" t="s">
        <v>84</v>
      </c>
      <c r="B76" s="1">
        <v>184.26</v>
      </c>
      <c r="C76" t="s">
        <v>31</v>
      </c>
      <c r="D76" s="1">
        <v>246.07</v>
      </c>
    </row>
    <row r="77" spans="1:4" x14ac:dyDescent="0.3">
      <c r="A77" t="s">
        <v>80</v>
      </c>
      <c r="B77" s="1">
        <v>183</v>
      </c>
      <c r="C77" t="s">
        <v>73</v>
      </c>
      <c r="D77" s="1">
        <v>235.22</v>
      </c>
    </row>
    <row r="78" spans="1:4" x14ac:dyDescent="0.3">
      <c r="A78" t="s">
        <v>58</v>
      </c>
      <c r="B78" s="1">
        <v>178.1</v>
      </c>
      <c r="C78" t="s">
        <v>83</v>
      </c>
      <c r="D78" s="1">
        <v>206.37</v>
      </c>
    </row>
    <row r="79" spans="1:4" x14ac:dyDescent="0.3">
      <c r="A79" t="s">
        <v>93</v>
      </c>
      <c r="B79" s="1">
        <v>159.6</v>
      </c>
      <c r="C79" t="s">
        <v>80</v>
      </c>
      <c r="D79" s="1">
        <v>187.91</v>
      </c>
    </row>
    <row r="80" spans="1:4" x14ac:dyDescent="0.3">
      <c r="A80" t="s">
        <v>96</v>
      </c>
      <c r="B80" s="1">
        <v>158.85</v>
      </c>
      <c r="C80" t="s">
        <v>37</v>
      </c>
      <c r="D80" s="1">
        <v>166.08</v>
      </c>
    </row>
    <row r="81" spans="1:4" x14ac:dyDescent="0.3">
      <c r="A81" t="s">
        <v>22</v>
      </c>
      <c r="B81" s="1">
        <v>149.5</v>
      </c>
      <c r="C81" t="s">
        <v>66</v>
      </c>
      <c r="D81" s="1">
        <v>143.41999999999999</v>
      </c>
    </row>
    <row r="82" spans="1:4" x14ac:dyDescent="0.3">
      <c r="A82" t="s">
        <v>79</v>
      </c>
      <c r="B82" s="1">
        <v>145.96</v>
      </c>
      <c r="C82" t="s">
        <v>93</v>
      </c>
      <c r="D82" s="1">
        <v>119.7</v>
      </c>
    </row>
    <row r="83" spans="1:4" x14ac:dyDescent="0.3">
      <c r="A83" t="s">
        <v>68</v>
      </c>
      <c r="B83" s="1">
        <v>89.75</v>
      </c>
      <c r="C83" t="s">
        <v>97</v>
      </c>
      <c r="D83" s="1">
        <v>94.45</v>
      </c>
    </row>
    <row r="84" spans="1:4" x14ac:dyDescent="0.3">
      <c r="A84" t="s">
        <v>73</v>
      </c>
      <c r="B84" s="1">
        <v>89.51</v>
      </c>
      <c r="C84" t="s">
        <v>88</v>
      </c>
      <c r="D84" s="1">
        <v>61.02</v>
      </c>
    </row>
    <row r="85" spans="1:4" x14ac:dyDescent="0.3">
      <c r="A85" t="s">
        <v>81</v>
      </c>
      <c r="B85" s="1">
        <v>75.400000000000006</v>
      </c>
      <c r="C85" t="s">
        <v>81</v>
      </c>
      <c r="D85" s="1">
        <v>56.46</v>
      </c>
    </row>
    <row r="86" spans="1:4" x14ac:dyDescent="0.3">
      <c r="A86" t="s">
        <v>83</v>
      </c>
      <c r="B86" s="1">
        <v>66.41</v>
      </c>
      <c r="C86" t="s">
        <v>82</v>
      </c>
      <c r="D86" s="1">
        <v>43.56</v>
      </c>
    </row>
    <row r="87" spans="1:4" x14ac:dyDescent="0.3">
      <c r="A87" t="s">
        <v>66</v>
      </c>
      <c r="B87" s="1">
        <v>63.72</v>
      </c>
      <c r="C87" t="s">
        <v>59</v>
      </c>
      <c r="D87" s="1">
        <v>25.3</v>
      </c>
    </row>
    <row r="88" spans="1:4" x14ac:dyDescent="0.3">
      <c r="A88" t="s">
        <v>97</v>
      </c>
      <c r="B88" s="1">
        <v>61.8</v>
      </c>
      <c r="C88" t="s">
        <v>135</v>
      </c>
      <c r="D88" s="1">
        <v>25.28</v>
      </c>
    </row>
    <row r="89" spans="1:4" x14ac:dyDescent="0.3">
      <c r="A89" t="s">
        <v>78</v>
      </c>
      <c r="B89" s="1">
        <v>48.36</v>
      </c>
      <c r="C89" t="s">
        <v>72</v>
      </c>
      <c r="D89" s="1">
        <v>24.7</v>
      </c>
    </row>
    <row r="90" spans="1:4" x14ac:dyDescent="0.3">
      <c r="A90" t="s">
        <v>88</v>
      </c>
      <c r="B90" s="1">
        <v>38.94</v>
      </c>
      <c r="C90" t="s">
        <v>56</v>
      </c>
      <c r="D90" s="1">
        <v>19.98</v>
      </c>
    </row>
    <row r="91" spans="1:4" x14ac:dyDescent="0.3">
      <c r="A91" t="s">
        <v>77</v>
      </c>
      <c r="B91" s="1">
        <v>28.62</v>
      </c>
      <c r="C91" t="s">
        <v>77</v>
      </c>
      <c r="D91" s="1">
        <v>17.68</v>
      </c>
    </row>
    <row r="92" spans="1:4" x14ac:dyDescent="0.3">
      <c r="A92" t="s">
        <v>94</v>
      </c>
      <c r="B92" s="1">
        <v>24.69</v>
      </c>
      <c r="C92" t="s">
        <v>132</v>
      </c>
      <c r="D92" s="1">
        <v>12.62</v>
      </c>
    </row>
    <row r="93" spans="1:4" x14ac:dyDescent="0.3">
      <c r="A93" t="s">
        <v>100</v>
      </c>
      <c r="B93" s="1">
        <v>6.94</v>
      </c>
      <c r="C93" t="s">
        <v>75</v>
      </c>
      <c r="D93" s="1">
        <v>9.51</v>
      </c>
    </row>
    <row r="94" spans="1:4" x14ac:dyDescent="0.3">
      <c r="A94" t="s">
        <v>133</v>
      </c>
      <c r="B94" s="1">
        <v>6.4</v>
      </c>
      <c r="C94" t="s">
        <v>100</v>
      </c>
      <c r="D94" s="1">
        <v>8.8800000000000008</v>
      </c>
    </row>
    <row r="95" spans="1:4" x14ac:dyDescent="0.3">
      <c r="A95" s="3"/>
      <c r="B95" s="5"/>
      <c r="C95" t="s">
        <v>85</v>
      </c>
      <c r="D95" s="1">
        <v>4.38</v>
      </c>
    </row>
    <row r="96" spans="1:4" x14ac:dyDescent="0.3">
      <c r="A96" s="3"/>
      <c r="B96" s="5"/>
      <c r="C96" t="s">
        <v>133</v>
      </c>
      <c r="D96" s="1">
        <v>3.36</v>
      </c>
    </row>
    <row r="97" spans="1:4" x14ac:dyDescent="0.3">
      <c r="A97" s="3"/>
      <c r="B97" s="5"/>
      <c r="C97" s="5"/>
      <c r="D97" s="3"/>
    </row>
    <row r="98" spans="1:4" x14ac:dyDescent="0.3">
      <c r="A98" s="3"/>
      <c r="B98" s="5"/>
      <c r="C98" s="5"/>
      <c r="D98" s="3"/>
    </row>
    <row r="99" spans="1:4" x14ac:dyDescent="0.3">
      <c r="A99" s="3"/>
      <c r="B99" s="5"/>
      <c r="C99" s="5"/>
      <c r="D99" s="3"/>
    </row>
    <row r="100" spans="1:4" x14ac:dyDescent="0.3">
      <c r="A100" s="3"/>
      <c r="B100" s="5"/>
      <c r="C100" s="5"/>
      <c r="D100" s="3"/>
    </row>
    <row r="101" spans="1:4" x14ac:dyDescent="0.3">
      <c r="A101" s="3"/>
      <c r="B101" s="5"/>
      <c r="C101" s="5"/>
      <c r="D101" s="3"/>
    </row>
    <row r="102" spans="1:4" x14ac:dyDescent="0.3">
      <c r="A102" s="3"/>
      <c r="B102" s="5"/>
      <c r="C102" s="5"/>
      <c r="D102" s="3"/>
    </row>
    <row r="103" spans="1:4" x14ac:dyDescent="0.3">
      <c r="A103" s="3"/>
      <c r="B103" s="5"/>
      <c r="C103" s="5"/>
      <c r="D103" s="3"/>
    </row>
    <row r="104" spans="1:4" x14ac:dyDescent="0.3">
      <c r="A104" s="3"/>
      <c r="B104" s="5"/>
      <c r="C104" s="5"/>
      <c r="D104" s="3"/>
    </row>
    <row r="105" spans="1:4" x14ac:dyDescent="0.3">
      <c r="A105" s="3"/>
      <c r="B105" s="5"/>
      <c r="C105" s="5"/>
      <c r="D105" s="3"/>
    </row>
  </sheetData>
  <mergeCells count="1">
    <mergeCell ref="A1:D2"/>
  </mergeCells>
  <phoneticPr fontId="3" type="noConversion"/>
  <dataValidations count="1">
    <dataValidation type="list" allowBlank="1" showInputMessage="1" showErrorMessage="1" sqref="B3" xr:uid="{D17F5360-7CBF-4661-9A6E-15D12528936C}">
      <formula1>#REF!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25. BANCO DE DADOS</vt:lpstr>
      <vt:lpstr>24. BANCO DE DADOS</vt:lpstr>
      <vt:lpstr>26. BANCO DE DADOS</vt:lpstr>
      <vt:lpstr>MÊS ATUAL vs MÊS ANTERIOR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diego simioni</cp:lastModifiedBy>
  <dcterms:created xsi:type="dcterms:W3CDTF">2025-05-05T08:36:24Z</dcterms:created>
  <dcterms:modified xsi:type="dcterms:W3CDTF">2026-04-16T21:33:12Z</dcterms:modified>
</cp:coreProperties>
</file>